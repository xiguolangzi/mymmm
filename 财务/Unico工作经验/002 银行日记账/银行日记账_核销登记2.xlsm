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00 工作文件\002 银行日记账\"/>
    </mc:Choice>
  </mc:AlternateContent>
  <xr:revisionPtr revIDLastSave="0" documentId="13_ncr:1_{7CAC23AF-E035-428D-8117-89165270583A}" xr6:coauthVersionLast="47" xr6:coauthVersionMax="47" xr10:uidLastSave="{00000000-0000-0000-0000-000000000000}"/>
  <bookViews>
    <workbookView xWindow="-108" yWindow="-108" windowWidth="23256" windowHeight="12456" tabRatio="597" xr2:uid="{00000000-000D-0000-FFFF-FFFF00000000}"/>
  </bookViews>
  <sheets>
    <sheet name="银行日记账登记" sheetId="1" r:id="rId1"/>
    <sheet name="客户信息维护" sheetId="4" r:id="rId2"/>
    <sheet name="供应商信息维护" sheetId="7" r:id="rId3"/>
    <sheet name="银行信息" sheetId="2" r:id="rId4"/>
    <sheet name="数据维护" sheetId="3" r:id="rId5"/>
    <sheet name="666" sheetId="6" r:id="rId6"/>
  </sheets>
  <definedNames>
    <definedName name="_xlnm._FilterDatabase" localSheetId="4" hidden="1">数据维护!$G$1:$I$5</definedName>
    <definedName name="_xlnm._FilterDatabase" localSheetId="0" hidden="1">银行日记账登记!$A$1:$S$640</definedName>
    <definedName name="FUTURE">数据维护!$H$2:$H$5</definedName>
    <definedName name="UNICO">数据维护!$G$2:$G$5</definedName>
    <definedName name="VERMELHIMODERNO">数据维护!$I$2:$I$3</definedName>
    <definedName name="公司名称">数据维护!$E$2:$E$4</definedName>
    <definedName name="收_客户">客户信息维护!$B$2:$B$355</definedName>
    <definedName name="收支类型">数据维护!$C$2:$C$6</definedName>
    <definedName name="收支状态">数据维护!$B$2:$B$11</definedName>
    <definedName name="支_费用">数据维护!$K$2:$K$20</definedName>
    <definedName name="支_供应商">供应商信息维护!$B$2:$B$3</definedName>
  </definedNames>
  <calcPr calcId="181029" iterate="1" iterateCount="1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40" i="1" l="1"/>
  <c r="M639" i="1"/>
  <c r="M638" i="1"/>
  <c r="M637" i="1"/>
  <c r="M636" i="1"/>
  <c r="M635" i="1"/>
  <c r="F4" i="1"/>
  <c r="M634" i="1"/>
  <c r="M633" i="1"/>
  <c r="M632" i="1"/>
  <c r="M631" i="1"/>
  <c r="M24" i="6" l="1"/>
  <c r="M23" i="6"/>
  <c r="M21" i="6"/>
  <c r="M17" i="6"/>
  <c r="M16" i="6"/>
  <c r="M15" i="6"/>
  <c r="M630" i="1" l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13" i="1"/>
  <c r="M14" i="1"/>
  <c r="M15" i="1"/>
  <c r="M16" i="1"/>
  <c r="M17" i="1"/>
  <c r="M18" i="1"/>
  <c r="M19" i="1"/>
  <c r="M49" i="1"/>
  <c r="M66" i="1"/>
  <c r="M67" i="1"/>
  <c r="M78" i="1"/>
  <c r="M79" i="1"/>
  <c r="M80" i="1"/>
  <c r="M92" i="1"/>
  <c r="M102" i="1"/>
  <c r="M109" i="1"/>
  <c r="M113" i="1"/>
  <c r="M169" i="1"/>
  <c r="M170" i="1"/>
  <c r="M171" i="1"/>
  <c r="M172" i="1"/>
  <c r="M178" i="1"/>
  <c r="M179" i="1"/>
  <c r="M185" i="1"/>
  <c r="M208" i="1"/>
  <c r="M225" i="1"/>
  <c r="M226" i="1"/>
  <c r="M227" i="1"/>
  <c r="M228" i="1"/>
  <c r="M235" i="1"/>
  <c r="M244" i="1"/>
  <c r="M245" i="1"/>
  <c r="M248" i="1"/>
  <c r="M249" i="1"/>
  <c r="M250" i="1"/>
  <c r="M253" i="1"/>
  <c r="M263" i="1"/>
  <c r="M264" i="1"/>
  <c r="M286" i="1"/>
  <c r="M293" i="1"/>
  <c r="M294" i="1"/>
  <c r="M302" i="1"/>
  <c r="M303" i="1"/>
  <c r="M304" i="1"/>
  <c r="M312" i="1"/>
  <c r="M313" i="1"/>
  <c r="M314" i="1"/>
  <c r="M315" i="1"/>
  <c r="M316" i="1"/>
  <c r="M319" i="1"/>
  <c r="M344" i="1"/>
  <c r="M357" i="1"/>
  <c r="M385" i="1"/>
  <c r="M398" i="1"/>
  <c r="M399" i="1"/>
  <c r="M406" i="1"/>
  <c r="M422" i="1"/>
  <c r="M434" i="1"/>
  <c r="M435" i="1"/>
  <c r="M436" i="1"/>
  <c r="M437" i="1"/>
  <c r="M438" i="1"/>
  <c r="M439" i="1"/>
  <c r="M440" i="1"/>
  <c r="M441" i="1"/>
  <c r="M442" i="1"/>
  <c r="M443" i="1"/>
  <c r="M444" i="1"/>
  <c r="M462" i="1"/>
  <c r="M463" i="1"/>
  <c r="M468" i="1"/>
  <c r="M482" i="1"/>
  <c r="M483" i="1"/>
  <c r="M490" i="1"/>
  <c r="M491" i="1"/>
  <c r="M492" i="1"/>
  <c r="M493" i="1"/>
  <c r="M494" i="1"/>
  <c r="M495" i="1"/>
  <c r="M496" i="1"/>
  <c r="M507" i="1"/>
  <c r="M508" i="1"/>
  <c r="M509" i="1"/>
  <c r="M533" i="1"/>
  <c r="M543" i="1"/>
  <c r="M549" i="1"/>
  <c r="M550" i="1"/>
  <c r="M553" i="1"/>
  <c r="M554" i="1"/>
  <c r="M571" i="1"/>
  <c r="M574" i="1"/>
  <c r="M589" i="1"/>
  <c r="M601" i="1"/>
  <c r="M602" i="1"/>
  <c r="M603" i="1"/>
  <c r="M604" i="1"/>
  <c r="M605" i="1"/>
  <c r="M606" i="1"/>
  <c r="M607" i="1"/>
  <c r="M608" i="1"/>
  <c r="M609" i="1"/>
  <c r="M600" i="1"/>
  <c r="M599" i="1"/>
  <c r="M598" i="1" l="1"/>
  <c r="M597" i="1"/>
  <c r="M596" i="1"/>
  <c r="M595" i="1"/>
  <c r="M594" i="1"/>
  <c r="M593" i="1"/>
  <c r="M592" i="1"/>
  <c r="M591" i="1"/>
  <c r="M590" i="1"/>
  <c r="M588" i="1"/>
  <c r="M587" i="1"/>
  <c r="M5" i="1"/>
  <c r="M6" i="1"/>
  <c r="M7" i="1"/>
  <c r="M27" i="1"/>
  <c r="M31" i="1"/>
  <c r="M34" i="1"/>
  <c r="M35" i="1"/>
  <c r="M36" i="1"/>
  <c r="M37" i="1"/>
  <c r="M38" i="1"/>
  <c r="M45" i="1"/>
  <c r="M46" i="1"/>
  <c r="M47" i="1"/>
  <c r="M48" i="1"/>
  <c r="M62" i="1"/>
  <c r="M63" i="1"/>
  <c r="M64" i="1"/>
  <c r="M65" i="1"/>
  <c r="M74" i="1"/>
  <c r="M75" i="1"/>
  <c r="M76" i="1"/>
  <c r="M77" i="1"/>
  <c r="M91" i="1"/>
  <c r="M94" i="1"/>
  <c r="M101" i="1"/>
  <c r="M105" i="1"/>
  <c r="M110" i="1"/>
  <c r="M111" i="1"/>
  <c r="M112" i="1"/>
  <c r="M126" i="1"/>
  <c r="M127" i="1"/>
  <c r="M128" i="1"/>
  <c r="M129" i="1"/>
  <c r="M130" i="1"/>
  <c r="M139" i="1"/>
  <c r="M140" i="1"/>
  <c r="M150" i="1"/>
  <c r="M151" i="1"/>
  <c r="M152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80" i="1"/>
  <c r="M181" i="1"/>
  <c r="M182" i="1"/>
  <c r="M183" i="1"/>
  <c r="M184" i="1"/>
  <c r="M192" i="1"/>
  <c r="M193" i="1"/>
  <c r="M194" i="1"/>
  <c r="M195" i="1"/>
  <c r="M200" i="1"/>
  <c r="M202" i="1"/>
  <c r="M203" i="1"/>
  <c r="M204" i="1"/>
  <c r="M205" i="1"/>
  <c r="M206" i="1"/>
  <c r="M207" i="1"/>
  <c r="M213" i="1"/>
  <c r="M214" i="1"/>
  <c r="M215" i="1"/>
  <c r="M219" i="1"/>
  <c r="M220" i="1"/>
  <c r="M221" i="1"/>
  <c r="M222" i="1"/>
  <c r="M223" i="1"/>
  <c r="M224" i="1"/>
  <c r="M234" i="1"/>
  <c r="M240" i="1"/>
  <c r="M241" i="1"/>
  <c r="M242" i="1"/>
  <c r="M243" i="1"/>
  <c r="M246" i="1"/>
  <c r="M247" i="1"/>
  <c r="M251" i="1"/>
  <c r="M252" i="1"/>
  <c r="M259" i="1"/>
  <c r="M260" i="1"/>
  <c r="M262" i="1"/>
  <c r="M266" i="1"/>
  <c r="M271" i="1"/>
  <c r="M272" i="1"/>
  <c r="M273" i="1"/>
  <c r="M274" i="1"/>
  <c r="M275" i="1"/>
  <c r="M276" i="1"/>
  <c r="M283" i="1"/>
  <c r="M284" i="1"/>
  <c r="M285" i="1"/>
  <c r="M289" i="1"/>
  <c r="M292" i="1"/>
  <c r="M295" i="1"/>
  <c r="M296" i="1"/>
  <c r="M297" i="1"/>
  <c r="M299" i="1"/>
  <c r="M309" i="1"/>
  <c r="M310" i="1"/>
  <c r="M311" i="1"/>
  <c r="M318" i="1"/>
  <c r="M323" i="1"/>
  <c r="M324" i="1"/>
  <c r="M325" i="1"/>
  <c r="M326" i="1"/>
  <c r="M327" i="1"/>
  <c r="M330" i="1"/>
  <c r="M334" i="1"/>
  <c r="M335" i="1"/>
  <c r="M336" i="1"/>
  <c r="M337" i="1"/>
  <c r="M338" i="1"/>
  <c r="M339" i="1"/>
  <c r="M340" i="1"/>
  <c r="M341" i="1"/>
  <c r="M345" i="1"/>
  <c r="M346" i="1"/>
  <c r="M352" i="1"/>
  <c r="M355" i="1"/>
  <c r="M356" i="1"/>
  <c r="M360" i="1"/>
  <c r="M363" i="1"/>
  <c r="M370" i="1"/>
  <c r="M371" i="1"/>
  <c r="M372" i="1"/>
  <c r="M373" i="1"/>
  <c r="M377" i="1"/>
  <c r="M378" i="1"/>
  <c r="M379" i="1"/>
  <c r="M382" i="1"/>
  <c r="M383" i="1"/>
  <c r="M384" i="1"/>
  <c r="M387" i="1"/>
  <c r="M390" i="1"/>
  <c r="M391" i="1"/>
  <c r="M392" i="1"/>
  <c r="M393" i="1"/>
  <c r="M394" i="1"/>
  <c r="M395" i="1"/>
  <c r="M396" i="1"/>
  <c r="M397" i="1"/>
  <c r="M401" i="1"/>
  <c r="M402" i="1"/>
  <c r="M403" i="1"/>
  <c r="M404" i="1"/>
  <c r="M405" i="1"/>
  <c r="M410" i="1"/>
  <c r="M411" i="1"/>
  <c r="M418" i="1"/>
  <c r="M419" i="1"/>
  <c r="M420" i="1"/>
  <c r="M421" i="1"/>
  <c r="M428" i="1"/>
  <c r="M429" i="1"/>
  <c r="M430" i="1"/>
  <c r="M431" i="1"/>
  <c r="M432" i="1"/>
  <c r="M447" i="1"/>
  <c r="M448" i="1"/>
  <c r="M449" i="1"/>
  <c r="M450" i="1"/>
  <c r="M451" i="1"/>
  <c r="M452" i="1"/>
  <c r="M456" i="1"/>
  <c r="M457" i="1"/>
  <c r="M458" i="1"/>
  <c r="M459" i="1"/>
  <c r="M460" i="1"/>
  <c r="M461" i="1"/>
  <c r="M469" i="1"/>
  <c r="M470" i="1"/>
  <c r="M471" i="1"/>
  <c r="M472" i="1"/>
  <c r="M473" i="1"/>
  <c r="M474" i="1"/>
  <c r="M475" i="1"/>
  <c r="M476" i="1"/>
  <c r="M484" i="1"/>
  <c r="M485" i="1"/>
  <c r="M488" i="1"/>
  <c r="M489" i="1"/>
  <c r="M498" i="1"/>
  <c r="M504" i="1"/>
  <c r="M505" i="1"/>
  <c r="M506" i="1"/>
  <c r="M511" i="1"/>
  <c r="M512" i="1"/>
  <c r="M520" i="1"/>
  <c r="M521" i="1"/>
  <c r="M522" i="1"/>
  <c r="M523" i="1"/>
  <c r="M525" i="1"/>
  <c r="M526" i="1"/>
  <c r="M532" i="1"/>
  <c r="M534" i="1"/>
  <c r="M535" i="1"/>
  <c r="M538" i="1"/>
  <c r="M539" i="1"/>
  <c r="M540" i="1"/>
  <c r="M541" i="1"/>
  <c r="M542" i="1"/>
  <c r="M555" i="1"/>
  <c r="M556" i="1"/>
  <c r="M557" i="1"/>
  <c r="M558" i="1"/>
  <c r="M559" i="1"/>
  <c r="M560" i="1"/>
  <c r="M561" i="1"/>
  <c r="M562" i="1"/>
  <c r="M563" i="1"/>
  <c r="M564" i="1"/>
  <c r="M570" i="1"/>
  <c r="M572" i="1"/>
  <c r="M573" i="1"/>
  <c r="M576" i="1"/>
  <c r="M580" i="1"/>
  <c r="M585" i="1"/>
  <c r="M586" i="1"/>
  <c r="M584" i="1"/>
  <c r="M583" i="1"/>
  <c r="M582" i="1"/>
  <c r="M581" i="1"/>
  <c r="M579" i="1" l="1"/>
  <c r="M578" i="1"/>
  <c r="M577" i="1"/>
  <c r="M575" i="1"/>
  <c r="M569" i="1" l="1"/>
  <c r="M568" i="1"/>
  <c r="M567" i="1"/>
  <c r="M566" i="1"/>
  <c r="M565" i="1"/>
  <c r="M552" i="1"/>
  <c r="M551" i="1"/>
  <c r="M548" i="1" l="1"/>
  <c r="M547" i="1"/>
  <c r="M546" i="1"/>
  <c r="M545" i="1"/>
  <c r="M544" i="1"/>
  <c r="M537" i="1" l="1"/>
  <c r="M536" i="1"/>
  <c r="M531" i="1" l="1"/>
  <c r="M530" i="1"/>
  <c r="M529" i="1"/>
  <c r="M528" i="1"/>
  <c r="M527" i="1" l="1"/>
  <c r="M524" i="1"/>
  <c r="M519" i="1" l="1"/>
  <c r="M518" i="1"/>
  <c r="M517" i="1"/>
  <c r="M516" i="1"/>
  <c r="M515" i="1"/>
  <c r="M514" i="1"/>
  <c r="M513" i="1"/>
  <c r="M510" i="1" l="1"/>
  <c r="M503" i="1"/>
  <c r="M502" i="1"/>
  <c r="M501" i="1"/>
  <c r="M500" i="1"/>
  <c r="M499" i="1"/>
  <c r="M497" i="1" l="1"/>
  <c r="M487" i="1"/>
  <c r="M486" i="1"/>
  <c r="M8" i="1"/>
  <c r="M9" i="1"/>
  <c r="M10" i="1"/>
  <c r="M11" i="1"/>
  <c r="M12" i="1"/>
  <c r="M104" i="1"/>
  <c r="M270" i="1"/>
  <c r="M374" i="1"/>
  <c r="M481" i="1"/>
  <c r="M480" i="1"/>
  <c r="M479" i="1"/>
  <c r="M478" i="1"/>
  <c r="M477" i="1"/>
  <c r="M467" i="1"/>
  <c r="M466" i="1"/>
  <c r="M465" i="1"/>
  <c r="M464" i="1"/>
  <c r="M455" i="1"/>
  <c r="M454" i="1"/>
  <c r="M453" i="1"/>
  <c r="M446" i="1" l="1"/>
  <c r="M445" i="1"/>
  <c r="M433" i="1" l="1"/>
  <c r="M427" i="1"/>
  <c r="M426" i="1"/>
  <c r="M425" i="1"/>
  <c r="M424" i="1" l="1"/>
  <c r="M423" i="1"/>
  <c r="M417" i="1"/>
  <c r="M416" i="1"/>
  <c r="M415" i="1"/>
  <c r="M414" i="1"/>
  <c r="M413" i="1"/>
  <c r="M412" i="1"/>
  <c r="M409" i="1"/>
  <c r="M408" i="1"/>
  <c r="M407" i="1"/>
  <c r="M2" i="1"/>
  <c r="M3" i="1"/>
  <c r="M4" i="1"/>
  <c r="M21" i="1"/>
  <c r="M22" i="1"/>
  <c r="M23" i="1"/>
  <c r="M24" i="1"/>
  <c r="M25" i="1"/>
  <c r="M28" i="1"/>
  <c r="M29" i="1"/>
  <c r="M30" i="1"/>
  <c r="M32" i="1"/>
  <c r="M33" i="1"/>
  <c r="M39" i="1"/>
  <c r="M40" i="1"/>
  <c r="M41" i="1"/>
  <c r="M42" i="1"/>
  <c r="M43" i="1"/>
  <c r="M44" i="1"/>
  <c r="M52" i="1"/>
  <c r="M53" i="1"/>
  <c r="M54" i="1"/>
  <c r="M55" i="1"/>
  <c r="M56" i="1"/>
  <c r="M57" i="1"/>
  <c r="M58" i="1"/>
  <c r="M59" i="1"/>
  <c r="M60" i="1"/>
  <c r="M61" i="1"/>
  <c r="M68" i="1"/>
  <c r="M69" i="1"/>
  <c r="M70" i="1"/>
  <c r="M71" i="1"/>
  <c r="M72" i="1"/>
  <c r="M73" i="1"/>
  <c r="M81" i="1"/>
  <c r="M82" i="1"/>
  <c r="M83" i="1"/>
  <c r="M84" i="1"/>
  <c r="M85" i="1"/>
  <c r="M86" i="1"/>
  <c r="M87" i="1"/>
  <c r="M88" i="1"/>
  <c r="M89" i="1"/>
  <c r="M90" i="1"/>
  <c r="M93" i="1"/>
  <c r="M95" i="1"/>
  <c r="M96" i="1"/>
  <c r="M97" i="1"/>
  <c r="M98" i="1"/>
  <c r="M99" i="1"/>
  <c r="M100" i="1"/>
  <c r="M103" i="1"/>
  <c r="M106" i="1"/>
  <c r="M107" i="1"/>
  <c r="M108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31" i="1"/>
  <c r="M132" i="1"/>
  <c r="M133" i="1"/>
  <c r="M134" i="1"/>
  <c r="M135" i="1"/>
  <c r="M136" i="1"/>
  <c r="M137" i="1"/>
  <c r="M138" i="1"/>
  <c r="M148" i="1"/>
  <c r="M149" i="1"/>
  <c r="M153" i="1"/>
  <c r="M154" i="1"/>
  <c r="M173" i="1"/>
  <c r="M174" i="1"/>
  <c r="M175" i="1"/>
  <c r="M176" i="1"/>
  <c r="M177" i="1"/>
  <c r="M186" i="1"/>
  <c r="M187" i="1"/>
  <c r="M188" i="1"/>
  <c r="M189" i="1"/>
  <c r="M190" i="1"/>
  <c r="M191" i="1"/>
  <c r="M196" i="1"/>
  <c r="M197" i="1"/>
  <c r="M198" i="1"/>
  <c r="M199" i="1"/>
  <c r="M201" i="1"/>
  <c r="M209" i="1"/>
  <c r="M210" i="1"/>
  <c r="M211" i="1"/>
  <c r="M212" i="1"/>
  <c r="M216" i="1"/>
  <c r="M217" i="1"/>
  <c r="M218" i="1"/>
  <c r="M229" i="1"/>
  <c r="M230" i="1"/>
  <c r="M231" i="1"/>
  <c r="M232" i="1"/>
  <c r="M233" i="1"/>
  <c r="M236" i="1"/>
  <c r="M237" i="1"/>
  <c r="M238" i="1"/>
  <c r="M239" i="1"/>
  <c r="M256" i="1"/>
  <c r="M257" i="1"/>
  <c r="M258" i="1"/>
  <c r="M265" i="1"/>
  <c r="M267" i="1"/>
  <c r="M268" i="1"/>
  <c r="M269" i="1"/>
  <c r="M277" i="1"/>
  <c r="M278" i="1"/>
  <c r="M279" i="1"/>
  <c r="M280" i="1"/>
  <c r="M281" i="1"/>
  <c r="M282" i="1"/>
  <c r="M288" i="1"/>
  <c r="M290" i="1"/>
  <c r="M291" i="1"/>
  <c r="M298" i="1"/>
  <c r="M300" i="1"/>
  <c r="M301" i="1"/>
  <c r="M305" i="1"/>
  <c r="M306" i="1"/>
  <c r="M307" i="1"/>
  <c r="M308" i="1"/>
  <c r="M317" i="1"/>
  <c r="M320" i="1"/>
  <c r="M321" i="1"/>
  <c r="M322" i="1"/>
  <c r="M328" i="1"/>
  <c r="M329" i="1"/>
  <c r="M331" i="1"/>
  <c r="M332" i="1"/>
  <c r="M333" i="1"/>
  <c r="M342" i="1"/>
  <c r="M343" i="1"/>
  <c r="M347" i="1"/>
  <c r="M348" i="1"/>
  <c r="M349" i="1"/>
  <c r="M350" i="1"/>
  <c r="M351" i="1"/>
  <c r="M353" i="1"/>
  <c r="M354" i="1"/>
  <c r="M358" i="1"/>
  <c r="M359" i="1"/>
  <c r="M361" i="1"/>
  <c r="M362" i="1"/>
  <c r="M364" i="1"/>
  <c r="M365" i="1"/>
  <c r="M366" i="1"/>
  <c r="M367" i="1"/>
  <c r="M368" i="1"/>
  <c r="M369" i="1"/>
  <c r="M375" i="1"/>
  <c r="M376" i="1"/>
  <c r="M380" i="1"/>
  <c r="M381" i="1"/>
  <c r="M388" i="1"/>
  <c r="M389" i="1"/>
  <c r="M400" i="1"/>
  <c r="M386" i="1"/>
  <c r="M287" i="1" l="1"/>
  <c r="M255" i="1"/>
  <c r="M254" i="1"/>
  <c r="F15" i="6"/>
  <c r="F16" i="6" s="1"/>
  <c r="F19" i="6" s="1"/>
  <c r="F14" i="6"/>
  <c r="M147" i="1" l="1"/>
  <c r="M146" i="1"/>
  <c r="M145" i="1"/>
  <c r="M144" i="1"/>
  <c r="M143" i="1"/>
  <c r="M142" i="1"/>
  <c r="M141" i="1"/>
  <c r="M51" i="1" l="1"/>
  <c r="M50" i="1" l="1"/>
  <c r="I5" i="6" l="1"/>
  <c r="G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2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缴税银行</t>
        </r>
      </text>
    </comment>
    <comment ref="F9" authorId="0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缴税银行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12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Ana Valverde Perez</t>
        </r>
      </text>
    </comment>
    <comment ref="K13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WINNER GESTORES, S.L.</t>
        </r>
      </text>
    </comment>
    <comment ref="K14" authorId="0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工人税</t>
        </r>
      </text>
    </comment>
    <comment ref="K15" authorId="0" shapeId="0" xr:uid="{00000000-0006-0000-04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房租税</t>
        </r>
      </text>
    </comment>
    <comment ref="K16" authorId="0" shapeId="0" xr:uid="{00000000-0006-0000-04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TGSS. COTIZACION 001 REGIMEN GENERAL</t>
        </r>
      </text>
    </comment>
    <comment ref="K17" authorId="0" shapeId="0" xr:uid="{00000000-0006-0000-0400-000006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TGSS. COTIZACION 005 R.E.AUTONOMOS</t>
        </r>
      </text>
    </comment>
  </commentList>
</comments>
</file>

<file path=xl/sharedStrings.xml><?xml version="1.0" encoding="utf-8"?>
<sst xmlns="http://schemas.openxmlformats.org/spreadsheetml/2006/main" count="5422" uniqueCount="2147">
  <si>
    <t>公司名称</t>
    <phoneticPr fontId="1" type="noConversion"/>
  </si>
  <si>
    <t>税号</t>
    <phoneticPr fontId="1" type="noConversion"/>
  </si>
  <si>
    <t>银行账号</t>
    <phoneticPr fontId="1" type="noConversion"/>
  </si>
  <si>
    <t>登录网址</t>
    <phoneticPr fontId="1" type="noConversion"/>
  </si>
  <si>
    <t>登录账号</t>
    <phoneticPr fontId="1" type="noConversion"/>
  </si>
  <si>
    <t>登录密码</t>
    <phoneticPr fontId="1" type="noConversion"/>
  </si>
  <si>
    <t>账户期末余额</t>
    <phoneticPr fontId="1" type="noConversion"/>
  </si>
  <si>
    <t>FUTURE TELECOM PLUS S.L.</t>
  </si>
  <si>
    <t>UNICO STAR EUROPA S.L</t>
  </si>
  <si>
    <t>地址</t>
    <phoneticPr fontId="1" type="noConversion"/>
  </si>
  <si>
    <t>B09899717</t>
    <phoneticPr fontId="1" type="noConversion"/>
  </si>
  <si>
    <t>CALLE PURISIMA CONCEPCION 7 1DER, 28982 PARLA</t>
    <phoneticPr fontId="1" type="noConversion"/>
  </si>
  <si>
    <t>手机号</t>
    <phoneticPr fontId="1" type="noConversion"/>
  </si>
  <si>
    <t>银行名称</t>
    <phoneticPr fontId="1" type="noConversion"/>
  </si>
  <si>
    <t>swift 号码</t>
    <phoneticPr fontId="1" type="noConversion"/>
  </si>
  <si>
    <t>CAIXABANK</t>
  </si>
  <si>
    <t>BBVA</t>
    <phoneticPr fontId="1" type="noConversion"/>
  </si>
  <si>
    <t>CAJARURAL</t>
  </si>
  <si>
    <t>ES95 2100 2015 1002 0006 5566</t>
  </si>
  <si>
    <t>ES15 0182 7082 9102 0162 0671</t>
  </si>
  <si>
    <t>ES67 3067 0166 3935 3953 9910</t>
  </si>
  <si>
    <t>CAIXESBBXXX</t>
  </si>
  <si>
    <t>BBVAESMMXXX</t>
  </si>
  <si>
    <t>BCOEESMM067</t>
  </si>
  <si>
    <t>Rua Palmira 60A,1170-289 LISBOA,PORTUGAL</t>
    <phoneticPr fontId="1" type="noConversion"/>
  </si>
  <si>
    <t>BPI</t>
  </si>
  <si>
    <t>BBPIPTPL</t>
  </si>
  <si>
    <t>B88319900</t>
  </si>
  <si>
    <t>C/Londress,44,28983 Parla,Madrid</t>
  </si>
  <si>
    <t>0034-914277975；0034-690103485</t>
    <phoneticPr fontId="1" type="noConversion"/>
  </si>
  <si>
    <t>sabadell</t>
  </si>
  <si>
    <t>IberCaja</t>
  </si>
  <si>
    <t>CAJA RURAL</t>
  </si>
  <si>
    <t>CAJAMAR</t>
  </si>
  <si>
    <t>ES42 0081 0386 1300 0193 0699</t>
    <phoneticPr fontId="1" type="noConversion"/>
  </si>
  <si>
    <t>ES41 2085 9720 8803 3062 6553</t>
  </si>
  <si>
    <t>ES98 3067 0166 3434 4375 4910</t>
  </si>
  <si>
    <t>ES92 3058 0980 5927 2001 2850</t>
    <phoneticPr fontId="1" type="noConversion"/>
  </si>
  <si>
    <t>BSABESBB</t>
    <phoneticPr fontId="1" type="noConversion"/>
  </si>
  <si>
    <t>CAZRES2Z</t>
  </si>
  <si>
    <t>CCRIES2AXXX</t>
  </si>
  <si>
    <t>PT50 0010 0000 60040990001 98</t>
    <phoneticPr fontId="1" type="noConversion"/>
  </si>
  <si>
    <t>公司名称</t>
    <phoneticPr fontId="1" type="noConversion"/>
  </si>
  <si>
    <t>银行名称</t>
    <phoneticPr fontId="1" type="noConversion"/>
  </si>
  <si>
    <t>收支状态</t>
    <phoneticPr fontId="1" type="noConversion"/>
  </si>
  <si>
    <t>银付</t>
  </si>
  <si>
    <t>到账日期</t>
    <phoneticPr fontId="1" type="noConversion"/>
  </si>
  <si>
    <t>客户名称</t>
    <phoneticPr fontId="1" type="noConversion"/>
  </si>
  <si>
    <t>核销发票号</t>
    <phoneticPr fontId="1" type="noConversion"/>
  </si>
  <si>
    <t>凭证号</t>
    <phoneticPr fontId="1" type="noConversion"/>
  </si>
  <si>
    <t>到账金额</t>
    <phoneticPr fontId="1" type="noConversion"/>
  </si>
  <si>
    <t>备注</t>
    <phoneticPr fontId="1" type="noConversion"/>
  </si>
  <si>
    <t>文员对接</t>
    <phoneticPr fontId="1" type="noConversion"/>
  </si>
  <si>
    <t>收支状态</t>
    <phoneticPr fontId="1" type="noConversion"/>
  </si>
  <si>
    <t>FUTURE TELECOM PLUS S.L.</t>
    <phoneticPr fontId="1" type="noConversion"/>
  </si>
  <si>
    <t>FUTURE</t>
  </si>
  <si>
    <t>FUTURE</t>
    <phoneticPr fontId="1" type="noConversion"/>
  </si>
  <si>
    <t>UNICO STAR EUROPA S.L</t>
    <phoneticPr fontId="1" type="noConversion"/>
  </si>
  <si>
    <t>UNICO</t>
    <phoneticPr fontId="1" type="noConversion"/>
  </si>
  <si>
    <t>VERMELHIMODERNO UNIPESSOAL LDA</t>
    <phoneticPr fontId="1" type="noConversion"/>
  </si>
  <si>
    <t>VERMELHIMODERNO</t>
  </si>
  <si>
    <t>VERMELHIMODERNO</t>
    <phoneticPr fontId="1" type="noConversion"/>
  </si>
  <si>
    <t>F_CAIXABANK</t>
    <phoneticPr fontId="1" type="noConversion"/>
  </si>
  <si>
    <t>F_BBVA</t>
  </si>
  <si>
    <t>F_BBVA</t>
    <phoneticPr fontId="1" type="noConversion"/>
  </si>
  <si>
    <t>F_CAJARURAL</t>
    <phoneticPr fontId="1" type="noConversion"/>
  </si>
  <si>
    <t>V_BPI</t>
  </si>
  <si>
    <t>V_BPI</t>
    <phoneticPr fontId="1" type="noConversion"/>
  </si>
  <si>
    <t>U_sabadell</t>
    <phoneticPr fontId="1" type="noConversion"/>
  </si>
  <si>
    <t>U_IberCaja</t>
    <phoneticPr fontId="1" type="noConversion"/>
  </si>
  <si>
    <t>刷卡手续费</t>
    <phoneticPr fontId="1" type="noConversion"/>
  </si>
  <si>
    <t>B27821099</t>
  </si>
  <si>
    <t>客户名称</t>
    <phoneticPr fontId="1" type="noConversion"/>
  </si>
  <si>
    <t>MAXI ASIA CENTER JIN FU CHENG S.L</t>
  </si>
  <si>
    <t>TEMING CHENG</t>
  </si>
  <si>
    <t>X8823569X</t>
  </si>
  <si>
    <t>X8823569X</t>
    <phoneticPr fontId="1" type="noConversion"/>
  </si>
  <si>
    <t>客户编码</t>
    <phoneticPr fontId="1" type="noConversion"/>
  </si>
  <si>
    <t>列1</t>
    <phoneticPr fontId="1" type="noConversion"/>
  </si>
  <si>
    <t>已发</t>
  </si>
  <si>
    <t>核销金额</t>
    <phoneticPr fontId="1" type="noConversion"/>
  </si>
  <si>
    <t>发送内容</t>
    <phoneticPr fontId="1" type="noConversion"/>
  </si>
  <si>
    <t>100.55€  客户:MAXI ASIA CENTER JIN FU CHENG S.L  核销发票号:11111  已到账</t>
  </si>
  <si>
    <t>筛选条件：</t>
    <phoneticPr fontId="1" type="noConversion"/>
  </si>
  <si>
    <t>公司名称</t>
    <phoneticPr fontId="1" type="noConversion"/>
  </si>
  <si>
    <t>银行名称</t>
    <phoneticPr fontId="1" type="noConversion"/>
  </si>
  <si>
    <t>转账到账</t>
  </si>
  <si>
    <t>银行描述</t>
    <phoneticPr fontId="1" type="noConversion"/>
  </si>
  <si>
    <t>转账到账</t>
    <phoneticPr fontId="1" type="noConversion"/>
  </si>
  <si>
    <t>转账未到</t>
    <phoneticPr fontId="1" type="noConversion"/>
  </si>
  <si>
    <t>支票到账</t>
  </si>
  <si>
    <t>支票到账</t>
    <phoneticPr fontId="1" type="noConversion"/>
  </si>
  <si>
    <t>支票未到</t>
    <phoneticPr fontId="1" type="noConversion"/>
  </si>
  <si>
    <t>刷卡到账</t>
    <phoneticPr fontId="1" type="noConversion"/>
  </si>
  <si>
    <t>刷卡未到</t>
    <phoneticPr fontId="1" type="noConversion"/>
  </si>
  <si>
    <t>存现到账</t>
    <phoneticPr fontId="1" type="noConversion"/>
  </si>
  <si>
    <t>存现未到</t>
    <phoneticPr fontId="1" type="noConversion"/>
  </si>
  <si>
    <t>提现到账</t>
    <phoneticPr fontId="1" type="noConversion"/>
  </si>
  <si>
    <t>提现未到</t>
    <phoneticPr fontId="1" type="noConversion"/>
  </si>
  <si>
    <t>收支类型</t>
    <phoneticPr fontId="1" type="noConversion"/>
  </si>
  <si>
    <t>收_客户</t>
  </si>
  <si>
    <t>收_客户</t>
    <phoneticPr fontId="1" type="noConversion"/>
  </si>
  <si>
    <t>支_供应商</t>
    <phoneticPr fontId="1" type="noConversion"/>
  </si>
  <si>
    <t>支_费用</t>
    <phoneticPr fontId="1" type="noConversion"/>
  </si>
  <si>
    <t>序号</t>
    <phoneticPr fontId="1" type="noConversion"/>
  </si>
  <si>
    <t>收_客户</t>
    <phoneticPr fontId="1" type="noConversion"/>
  </si>
  <si>
    <t>供应商1</t>
    <phoneticPr fontId="1" type="noConversion"/>
  </si>
  <si>
    <t>供应商2</t>
    <phoneticPr fontId="1" type="noConversion"/>
  </si>
  <si>
    <t>支_供应商</t>
    <phoneticPr fontId="1" type="noConversion"/>
  </si>
  <si>
    <t>供应商名称</t>
    <phoneticPr fontId="1" type="noConversion"/>
  </si>
  <si>
    <t>支_费用</t>
    <phoneticPr fontId="1" type="noConversion"/>
  </si>
  <si>
    <t>差旅费_住宿</t>
    <phoneticPr fontId="1" type="noConversion"/>
  </si>
  <si>
    <t>差旅费_餐饮</t>
    <phoneticPr fontId="1" type="noConversion"/>
  </si>
  <si>
    <t>差旅费_过路</t>
    <phoneticPr fontId="1" type="noConversion"/>
  </si>
  <si>
    <t>差旅费_停车</t>
    <phoneticPr fontId="1" type="noConversion"/>
  </si>
  <si>
    <t>差旅费_加油</t>
    <phoneticPr fontId="1" type="noConversion"/>
  </si>
  <si>
    <t>租赁_仓库1</t>
    <phoneticPr fontId="1" type="noConversion"/>
  </si>
  <si>
    <t>租赁_仓库2</t>
    <phoneticPr fontId="1" type="noConversion"/>
  </si>
  <si>
    <t>租赁_仓库3</t>
    <phoneticPr fontId="1" type="noConversion"/>
  </si>
  <si>
    <t>办公费_饮用水</t>
    <phoneticPr fontId="1" type="noConversion"/>
  </si>
  <si>
    <t>办公费_办公用品</t>
    <phoneticPr fontId="1" type="noConversion"/>
  </si>
  <si>
    <t>收支明细</t>
    <phoneticPr fontId="1" type="noConversion"/>
  </si>
  <si>
    <t>客户/供应商 名称</t>
    <phoneticPr fontId="1" type="noConversion"/>
  </si>
  <si>
    <t>收支类型</t>
    <phoneticPr fontId="1" type="noConversion"/>
  </si>
  <si>
    <t>发票号</t>
    <phoneticPr fontId="1" type="noConversion"/>
  </si>
  <si>
    <t>B27340793</t>
  </si>
  <si>
    <t>YUPING RUAN WU S.L</t>
  </si>
  <si>
    <t>F_CAIXABANK</t>
  </si>
  <si>
    <t>FTS23/0001420</t>
    <phoneticPr fontId="1" type="noConversion"/>
  </si>
  <si>
    <t>X3575458Q</t>
  </si>
  <si>
    <t>GUANHAI DU</t>
  </si>
  <si>
    <t>账单金额</t>
    <phoneticPr fontId="1" type="noConversion"/>
  </si>
  <si>
    <t>记账日期</t>
    <phoneticPr fontId="1" type="noConversion"/>
  </si>
  <si>
    <t>FTS23/0001390</t>
    <phoneticPr fontId="1" type="noConversion"/>
  </si>
  <si>
    <t>70</t>
    <phoneticPr fontId="1" type="noConversion"/>
  </si>
  <si>
    <t>FTS23/0001371</t>
  </si>
  <si>
    <t>72</t>
    <phoneticPr fontId="1" type="noConversion"/>
  </si>
  <si>
    <t>B16837288</t>
  </si>
  <si>
    <t>MULTICENTRO ORIENTAL S.L</t>
  </si>
  <si>
    <t>FTS22/0000343</t>
  </si>
  <si>
    <t>79</t>
    <phoneticPr fontId="1" type="noConversion"/>
  </si>
  <si>
    <t>B66776782</t>
  </si>
  <si>
    <t>DOKI 168 S.L</t>
  </si>
  <si>
    <t>FTS23/0001307</t>
  </si>
  <si>
    <t>80</t>
    <phoneticPr fontId="1" type="noConversion"/>
  </si>
  <si>
    <t>007 - TRANSFERENCIAS - MULTICENTRO ORIENTAL S.L.B16837288</t>
    <phoneticPr fontId="1" type="noConversion"/>
  </si>
  <si>
    <t>007 - TRANSFERENCIAS - FTS23/0001307</t>
    <phoneticPr fontId="1" type="noConversion"/>
  </si>
  <si>
    <t>313 - LIQUIDACION DE INTERESES-COMISIONES-GASTOS</t>
    <phoneticPr fontId="1" type="noConversion"/>
  </si>
  <si>
    <t>F_CAJARURAL</t>
  </si>
  <si>
    <t>B16985145</t>
  </si>
  <si>
    <t>VIDAL HOME 1688 S.L</t>
  </si>
  <si>
    <t>FTS23/0001401</t>
  </si>
  <si>
    <t>73</t>
    <phoneticPr fontId="1" type="noConversion"/>
  </si>
  <si>
    <t>Y0933810R</t>
  </si>
  <si>
    <t>Y0933810R</t>
    <phoneticPr fontId="1" type="noConversion"/>
  </si>
  <si>
    <t>YAN JIANG</t>
  </si>
  <si>
    <t>FTS23/0001397</t>
  </si>
  <si>
    <t>74</t>
    <phoneticPr fontId="1" type="noConversion"/>
  </si>
  <si>
    <t xml:space="preserve">435.58€ 客户：YUPING RUAN WU S.L 发票号:FTS23/0001420 已到账 </t>
    <phoneticPr fontId="1" type="noConversion"/>
  </si>
  <si>
    <t>B87358818</t>
  </si>
  <si>
    <t>WE PHONE 2016 S.L 威锋电子</t>
  </si>
  <si>
    <t>X2733719P</t>
  </si>
  <si>
    <t>LIAN FEN SU</t>
  </si>
  <si>
    <t>FTS23/0001347</t>
  </si>
  <si>
    <t>76</t>
    <phoneticPr fontId="1" type="noConversion"/>
  </si>
  <si>
    <t>X5791039F</t>
  </si>
  <si>
    <t>JIAYUAN CHEN</t>
  </si>
  <si>
    <t>FTS23/0001346</t>
  </si>
  <si>
    <t>代WE PHONE开票</t>
    <phoneticPr fontId="1" type="noConversion"/>
  </si>
  <si>
    <t>77</t>
    <phoneticPr fontId="1" type="noConversion"/>
  </si>
  <si>
    <t>X5781688V</t>
  </si>
  <si>
    <t>X5781688V</t>
    <phoneticPr fontId="1" type="noConversion"/>
  </si>
  <si>
    <t>QIAOYI JIN</t>
  </si>
  <si>
    <t>FTS23/0001345</t>
  </si>
  <si>
    <t>78</t>
    <phoneticPr fontId="1" type="noConversion"/>
  </si>
  <si>
    <t>INCRIVEL SORRISO IUNIP LDA 吴闯</t>
  </si>
  <si>
    <t>FT 23/0000103</t>
  </si>
  <si>
    <t>81</t>
    <phoneticPr fontId="1" type="noConversion"/>
  </si>
  <si>
    <t>517155370</t>
  </si>
  <si>
    <t>NEWAX UNIVERSAL TRADE UNIPESSOAL LDA 杨建华</t>
  </si>
  <si>
    <t>FT 23/0000188</t>
  </si>
  <si>
    <t>83</t>
    <phoneticPr fontId="1" type="noConversion"/>
  </si>
  <si>
    <t>516616714</t>
  </si>
  <si>
    <t>BULICIO DOS DEUSES LDA 君亮 小峰新店</t>
  </si>
  <si>
    <t>FT 23/0000086NC 23/0000039</t>
  </si>
  <si>
    <t>84</t>
    <phoneticPr fontId="1" type="noConversion"/>
  </si>
  <si>
    <t>509183760</t>
  </si>
  <si>
    <t>ORIENTE PERFEITO LDA  戴海亮</t>
  </si>
  <si>
    <t>FT 23/0000130|FT 23/0000170NC 23/0000102</t>
  </si>
  <si>
    <t>61</t>
    <phoneticPr fontId="1" type="noConversion"/>
  </si>
  <si>
    <t>516793292</t>
  </si>
  <si>
    <t>TREVO SOBERANO LDA</t>
  </si>
  <si>
    <t>FT 23/0000183</t>
  </si>
  <si>
    <t>85</t>
    <phoneticPr fontId="1" type="noConversion"/>
  </si>
  <si>
    <t>509403395</t>
  </si>
  <si>
    <t>AURORA CELESTIAL UNIPESSOAL LDA 徐正益</t>
  </si>
  <si>
    <t>FT 23/0000234</t>
  </si>
  <si>
    <t>86</t>
    <phoneticPr fontId="1" type="noConversion"/>
  </si>
  <si>
    <t>516015036</t>
  </si>
  <si>
    <t>AGENDA MELODICA LDA 叶翱翔</t>
  </si>
  <si>
    <t>FT 23/0000180</t>
  </si>
  <si>
    <t>82</t>
    <phoneticPr fontId="1" type="noConversion"/>
  </si>
  <si>
    <t>225.08€ 客户：TEMING CHENG 发票号:FTS23/0001371 已到账 托付CBL</t>
    <phoneticPr fontId="1" type="noConversion"/>
  </si>
  <si>
    <t>792.83€ 客户：GUANHAI DU 发票号:FTS23/0001390 已到账 托付CBL</t>
    <phoneticPr fontId="1" type="noConversion"/>
  </si>
  <si>
    <t>1127.43€ 客户：MULTICENTRO ORIENTAL S.L 发票号:FTS22/0000343 已到账 ；</t>
    <phoneticPr fontId="1" type="noConversion"/>
  </si>
  <si>
    <t>4070.68€ 客户：DOKI 168 S.L 发票号:FTS23/0001307 已到账 ；</t>
    <phoneticPr fontId="1" type="noConversion"/>
  </si>
  <si>
    <t>168.65€ 客户：VIDAL HOME 1688 S.L 发票号:FTS23/0001401 已到账 ；</t>
    <phoneticPr fontId="1" type="noConversion"/>
  </si>
  <si>
    <t>448.28€ 客户：YAN JIANG 发票号:FTS23/0001397 已到账 ；</t>
    <phoneticPr fontId="1" type="noConversion"/>
  </si>
  <si>
    <t>1000.63€ 客户：LIAN FEN SU 发票号:FTS23/0001347 已到账 代WE PHONE开票；</t>
    <phoneticPr fontId="1" type="noConversion"/>
  </si>
  <si>
    <t>1501.35€ 客户：JIAYUAN CHEN 发票号:FTS23/0001346 已到账 代WE PHONE开票；</t>
    <phoneticPr fontId="1" type="noConversion"/>
  </si>
  <si>
    <t>2001.89€ 客户：QIAOYI JIN 发票号:FTS23/0001345 已到账 代WE PHONE开票；</t>
    <phoneticPr fontId="1" type="noConversion"/>
  </si>
  <si>
    <t>1351.52€ 客户：INCRIVEL SORRISO IUNIP LDA 吴闯 发票号:FT 23/0000103 已到账 ；</t>
    <phoneticPr fontId="1" type="noConversion"/>
  </si>
  <si>
    <t>1602.28€ 客户：NEWAX UNIVERSAL TRADE UNIPESSOAL LDA 杨建华 发票号:FT 23/0000188 已到账 ；</t>
    <phoneticPr fontId="1" type="noConversion"/>
  </si>
  <si>
    <t>1982.79€ 客户：BULICIO DOS DEUSES LDA 君亮 小峰新店 发票号:FT 23/0000086NC 23/0000039 已到账 ；</t>
    <phoneticPr fontId="1" type="noConversion"/>
  </si>
  <si>
    <t>5102.12€ 客户：ORIENTE PERFEITO LDA  戴海亮 发票号:FT 23/0000130|FT 23/0000170NC 23/0000102 已到账 ；</t>
    <phoneticPr fontId="1" type="noConversion"/>
  </si>
  <si>
    <t>1888.8€ 客户：TREVO SOBERANO LDA 发票号:FT 23/0000183 已到账 ；</t>
    <phoneticPr fontId="1" type="noConversion"/>
  </si>
  <si>
    <t>1356.48€ 客户：AURORA CELESTIAL UNIPESSOAL LDA 徐正益 发票号:FT 23/0000234 已到账 ；</t>
    <phoneticPr fontId="1" type="noConversion"/>
  </si>
  <si>
    <t>6372.43€ 客户：AGENDA MELODICA LDA 叶翱翔 发票号:FT 23/0000180 已到账 ；</t>
    <phoneticPr fontId="1" type="noConversion"/>
  </si>
  <si>
    <t>F_CAJARURAL</t>
    <phoneticPr fontId="1" type="noConversion"/>
  </si>
  <si>
    <t>YUPING RUAN WU,S.L. FTS23/0001420</t>
    <phoneticPr fontId="1" type="noConversion"/>
  </si>
  <si>
    <t>Ana Valverde Perez paga FRA N.037-2023 DEL 28.06.2023</t>
    <phoneticPr fontId="1" type="noConversion"/>
  </si>
  <si>
    <t>YCADRI 2010 SL PAGO FACTURA FUTURE TELECOM SL NMERO 1248</t>
    <phoneticPr fontId="1" type="noConversion"/>
  </si>
  <si>
    <t>HAIPING LIU FACTURA FTS 23/0001421</t>
    <phoneticPr fontId="1" type="noConversion"/>
  </si>
  <si>
    <t>B27735984</t>
  </si>
  <si>
    <t>YCADRI 2010 S.L.U</t>
    <phoneticPr fontId="1" type="noConversion"/>
  </si>
  <si>
    <t>FTS23/0001248</t>
    <phoneticPr fontId="1" type="noConversion"/>
  </si>
  <si>
    <t>87</t>
    <phoneticPr fontId="1" type="noConversion"/>
  </si>
  <si>
    <t>X2386961K</t>
  </si>
  <si>
    <t>HAIPING LIU</t>
  </si>
  <si>
    <t>FTS23/0001421</t>
    <phoneticPr fontId="1" type="noConversion"/>
  </si>
  <si>
    <t>88</t>
    <phoneticPr fontId="1" type="noConversion"/>
  </si>
  <si>
    <t>1012Future</t>
    <phoneticPr fontId="1" type="noConversion"/>
  </si>
  <si>
    <t>Vidal home 1688</t>
    <phoneticPr fontId="1" type="noConversion"/>
  </si>
  <si>
    <t>yan jiang Fts23/0001397</t>
    <phoneticPr fontId="1" type="noConversion"/>
  </si>
  <si>
    <t>jiayuan chen Factura 0001346</t>
    <phoneticPr fontId="1" type="noConversion"/>
  </si>
  <si>
    <t>lianfen su Factura 0001347</t>
    <phoneticPr fontId="1" type="noConversion"/>
  </si>
  <si>
    <t>qiaoyi jin Factura fts23/0001345</t>
    <phoneticPr fontId="1" type="noConversion"/>
  </si>
  <si>
    <t>支_费用</t>
  </si>
  <si>
    <t>翻译费</t>
  </si>
  <si>
    <t>翻译费</t>
    <phoneticPr fontId="1" type="noConversion"/>
  </si>
  <si>
    <t>Ana Valverde Perez</t>
    <phoneticPr fontId="1" type="noConversion"/>
  </si>
  <si>
    <t>FAC 037-2023</t>
    <phoneticPr fontId="1" type="noConversion"/>
  </si>
  <si>
    <t>53</t>
    <phoneticPr fontId="1" type="noConversion"/>
  </si>
  <si>
    <t>SHAOCHANG YAN FTS23/0001444</t>
    <phoneticPr fontId="1" type="noConversion"/>
  </si>
  <si>
    <t>A.t. La Espada, S.l. PAGA FRA N. 2023/MAR/1269 DEL 28/04/20</t>
    <phoneticPr fontId="1" type="noConversion"/>
  </si>
  <si>
    <t>WINNER GESTORES, S.L.  TASAS COLEGIO DE REGISTRADORES POR PRESENTACION DE 3,00 CUENTAS ANUALE</t>
    <phoneticPr fontId="1" type="noConversion"/>
  </si>
  <si>
    <t>律师楼_劳工服务</t>
    <phoneticPr fontId="1" type="noConversion"/>
  </si>
  <si>
    <t>E71052690</t>
  </si>
  <si>
    <t>YAN AIMIN, YAN SHAOCHANG Y YAN XIURONG</t>
  </si>
  <si>
    <t>FTS23/0001444</t>
  </si>
  <si>
    <t>89</t>
    <phoneticPr fontId="1" type="noConversion"/>
  </si>
  <si>
    <t>886€ 客户：YCADRI 2010 S.L.U 发票号:FTS23/0001248 已到账 ；</t>
    <phoneticPr fontId="1" type="noConversion"/>
  </si>
  <si>
    <t>1035.85€ 客户：HAIPING LIU 发票号:FTS23/0001421 已到账 ；</t>
    <phoneticPr fontId="1" type="noConversion"/>
  </si>
  <si>
    <t>1234.11€ 客户：YAN AIMIN, YAN SHAOCHANG Y YAN XIURONG 发票号:FTS23/0001444 已到账 ；</t>
  </si>
  <si>
    <t>https://www.caixabank.es/empresa/home/empresas_es.html</t>
    <phoneticPr fontId="1" type="noConversion"/>
  </si>
  <si>
    <t>10171992ZJ</t>
    <phoneticPr fontId="3" type="noConversion"/>
  </si>
  <si>
    <t>https://www.bbva.es/empresas.html</t>
    <phoneticPr fontId="1" type="noConversion"/>
  </si>
  <si>
    <t>NIE:Y2848544P</t>
    <phoneticPr fontId="1" type="noConversion"/>
  </si>
  <si>
    <t>https://www.grupocajarural.es/es</t>
    <phoneticPr fontId="1" type="noConversion"/>
  </si>
  <si>
    <t>Código de empresa: 20770710
Usuario: ADMIN1</t>
    <phoneticPr fontId="1" type="noConversion"/>
  </si>
  <si>
    <t>https://www.bancobpi.pt/es/particulares</t>
    <phoneticPr fontId="1" type="noConversion"/>
  </si>
  <si>
    <t>用户名:VERMELHIMODERNO</t>
    <phoneticPr fontId="3" type="noConversion"/>
  </si>
  <si>
    <t>unico888</t>
    <phoneticPr fontId="3" type="noConversion"/>
  </si>
  <si>
    <t>内部转账</t>
  </si>
  <si>
    <t>内部转账</t>
    <phoneticPr fontId="1" type="noConversion"/>
  </si>
  <si>
    <t>银行手续费</t>
    <phoneticPr fontId="1" type="noConversion"/>
  </si>
  <si>
    <t>E42829234</t>
  </si>
  <si>
    <t>JUHE YAN-XIN HE C.B</t>
  </si>
  <si>
    <t>FTS23/0001441</t>
    <phoneticPr fontId="1" type="noConversion"/>
  </si>
  <si>
    <t>533.43€ 客户：JUHE YAN-XIN HE C.B 发票号:FTS23/0001441 已到账 ；</t>
  </si>
  <si>
    <t>X6325673Y</t>
  </si>
  <si>
    <t>CAIWEI CHEN</t>
  </si>
  <si>
    <t>FTS23/0001416</t>
  </si>
  <si>
    <t>CBL托付</t>
    <phoneticPr fontId="1" type="noConversion"/>
  </si>
  <si>
    <r>
      <t>345.23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客户：CAIWEI CHEN 发票号:FTS23/0001416 已到账 CBL托付；</t>
    </r>
    <phoneticPr fontId="1" type="noConversion"/>
  </si>
  <si>
    <t>B71024418</t>
  </si>
  <si>
    <t>TE ESPERAMOS S.L.</t>
  </si>
  <si>
    <t>FTS23/0001186&amp;FTS23/0001189&amp;FTS23/0001173&amp;AFTS23/0000561</t>
    <phoneticPr fontId="1" type="noConversion"/>
  </si>
  <si>
    <r>
      <t>514.8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客户：TE ESPERAMOS S.L. 发票号:FTS23/0001186&amp;FTS23/0001189&amp;FTS23/0001173&amp;AFTS23/0000561 已到账 ；</t>
    </r>
    <phoneticPr fontId="1" type="noConversion"/>
  </si>
  <si>
    <t>B74341264</t>
  </si>
  <si>
    <t>HUADALI S.L</t>
  </si>
  <si>
    <t xml:space="preserve"> FTS23/0001453&amp;FTS23/0001477</t>
    <phoneticPr fontId="1" type="noConversion"/>
  </si>
  <si>
    <r>
      <t>561.73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客户：HUADALI S.L 发票号: FTS23/0001453&amp;FTS23/0001477 已到账 ；</t>
    </r>
    <phoneticPr fontId="1" type="noConversion"/>
  </si>
  <si>
    <t>X7266900G</t>
  </si>
  <si>
    <t>GUOFENG LIANG</t>
  </si>
  <si>
    <t>FTS23/0001447</t>
  </si>
  <si>
    <r>
      <t>178.27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客户：GUOFENG LIANG 发票号:FTS23/0001447 已到账 ；</t>
    </r>
    <phoneticPr fontId="1" type="noConversion"/>
  </si>
  <si>
    <t>B27827617</t>
  </si>
  <si>
    <t>GRAN BAZAR HAO LI S.L.</t>
  </si>
  <si>
    <t>FTS23/0001443</t>
  </si>
  <si>
    <r>
      <t>399.8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BAZAR HAO LI S.L. 发票号:FTS23/0001443 已到账 ；</t>
    </r>
    <phoneticPr fontId="1" type="noConversion"/>
  </si>
  <si>
    <t>B94023736</t>
  </si>
  <si>
    <t>WYR HIPERMARKET S.L</t>
  </si>
  <si>
    <t>FTS23/0001458</t>
  </si>
  <si>
    <r>
      <t>220.33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客户：WYR HIPERMARKET S.L 发票号:FTS23/0001458 已到账 ；</t>
    </r>
    <phoneticPr fontId="1" type="noConversion"/>
  </si>
  <si>
    <t>X2355194V</t>
  </si>
  <si>
    <t>XIAOJUN CHEN</t>
  </si>
  <si>
    <t>FTS23/0001471,FTS23/0001463,FTS23/0001459</t>
  </si>
  <si>
    <r>
      <t>981.77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客户：XIAOJUN CHEN 发票号:FTS23/0001471,FTS23/0001463,FTS23/0001459 已到账 ；</t>
    </r>
    <phoneticPr fontId="1" type="noConversion"/>
  </si>
  <si>
    <t>B05488338</t>
  </si>
  <si>
    <t>REY MARKET 2021 S.L.</t>
    <phoneticPr fontId="1" type="noConversion"/>
  </si>
  <si>
    <t>B05488338</t>
    <phoneticPr fontId="1" type="noConversion"/>
  </si>
  <si>
    <t>FTS23/1162</t>
  </si>
  <si>
    <t>支票已兑</t>
    <phoneticPr fontId="1" type="noConversion"/>
  </si>
  <si>
    <t>04660340B</t>
  </si>
  <si>
    <t>EL AZRAK MERJANI HAMZA</t>
  </si>
  <si>
    <t>FTS23/371</t>
  </si>
  <si>
    <t>45845257R</t>
  </si>
  <si>
    <t>WEI JIONG LIU LIN</t>
  </si>
  <si>
    <t>FTS23/0001469</t>
  </si>
  <si>
    <t>B99287831</t>
  </si>
  <si>
    <t>NHAFKRA 050 S.L</t>
  </si>
  <si>
    <t>FTS23/0001467</t>
  </si>
  <si>
    <t>B55298087</t>
  </si>
  <si>
    <t>MUNDOMAXI SL</t>
  </si>
  <si>
    <t>FTS23/0001476</t>
  </si>
  <si>
    <t>modelo111</t>
  </si>
  <si>
    <t>modelo111</t>
    <phoneticPr fontId="1" type="noConversion"/>
  </si>
  <si>
    <t>工人税</t>
    <phoneticPr fontId="1" type="noConversion"/>
  </si>
  <si>
    <t>modelo115</t>
  </si>
  <si>
    <t>modelo115</t>
    <phoneticPr fontId="1" type="noConversion"/>
  </si>
  <si>
    <t>Y3769207G</t>
  </si>
  <si>
    <t>DENGRONG LIU</t>
  </si>
  <si>
    <t>FTS23/0001460</t>
  </si>
  <si>
    <r>
      <t>493.47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客户：WEI JIONG LIU LIN 发票号:FTS23/0001469 已到账 ；</t>
    </r>
    <phoneticPr fontId="1" type="noConversion"/>
  </si>
  <si>
    <r>
      <t>615.86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客户：NHAFKRA 050 S.L 发票号:FTS23/0001467 已到账 ；</t>
    </r>
    <phoneticPr fontId="1" type="noConversion"/>
  </si>
  <si>
    <r>
      <t>1217.16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客户：MUNDOMAXI SL 发票号:FTS23/0001476 已到账 ；</t>
    </r>
    <phoneticPr fontId="1" type="noConversion"/>
  </si>
  <si>
    <r>
      <t>234.9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客户：DENGRONG LIU 发票号:FTS23/0001460 已到账 ；</t>
    </r>
    <phoneticPr fontId="1" type="noConversion"/>
  </si>
  <si>
    <t>B44802486</t>
  </si>
  <si>
    <t>BAZAR FAMILY 2020 S.L</t>
  </si>
  <si>
    <t>FTS23/0001479</t>
  </si>
  <si>
    <t>B76647536</t>
  </si>
  <si>
    <t>SHOPPING CENTER CHINATOWN S.L</t>
  </si>
  <si>
    <t>FTS23/0001279&amp;FTS23/0001268&amp;FTS23/0001271</t>
    <phoneticPr fontId="1" type="noConversion"/>
  </si>
  <si>
    <t>B72494727</t>
  </si>
  <si>
    <t>MADE IN CHINA 2022 S.L 米克</t>
  </si>
  <si>
    <t>FTS23/0001431</t>
  </si>
  <si>
    <t>外账发票对应核销AFTS23/0000383</t>
    <phoneticPr fontId="1" type="noConversion"/>
  </si>
  <si>
    <t>B01856202</t>
  </si>
  <si>
    <t>MULTIHOGAR CAMBADOS S.L</t>
  </si>
  <si>
    <t>FTS23/0001455&amp;FTS23/0001457</t>
    <phoneticPr fontId="1" type="noConversion"/>
  </si>
  <si>
    <r>
      <t>882.7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FAMILY 2020 S.L 发票号:FTS23/0001479 已到账 ；</t>
    </r>
    <phoneticPr fontId="1" type="noConversion"/>
  </si>
  <si>
    <r>
      <t>5515.23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客户：SHOPPING CENTER CHINATOWN S.L 发票号:FTS23/0001279&amp;FTS23/0001268&amp;FTS23/0001271 已到账 ；</t>
    </r>
    <phoneticPr fontId="1" type="noConversion"/>
  </si>
  <si>
    <r>
      <t>2359.96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客户：MADE IN CHINA 2022 S.L 米克 发票号:FTS23/0001431 已到账 外账发票对应核销AFTS23/0000383；</t>
    </r>
    <phoneticPr fontId="1" type="noConversion"/>
  </si>
  <si>
    <r>
      <t>1195.15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客户：MULTIHOGAR CAMBADOS S.L 发票号:FTS23/0001455&amp;FTS23/0001457 已到账 ；</t>
    </r>
    <phoneticPr fontId="1" type="noConversion"/>
  </si>
  <si>
    <t>516798090</t>
  </si>
  <si>
    <t>FABULAS &amp; DEUSES UNIPESSOAL LDA 叶利双</t>
  </si>
  <si>
    <t>FT 23/0000236&amp;NC 23/0000135</t>
    <phoneticPr fontId="1" type="noConversion"/>
  </si>
  <si>
    <t>其中NC23/0000135外账发票对应核销AVU23/0000241</t>
    <phoneticPr fontId="1" type="noConversion"/>
  </si>
  <si>
    <r>
      <t>1153.32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客户：FABULAS &amp; DEUSES UNIPESSOAL LDA 叶利双 发票号:FT 23/0000236&amp;NC 23/0000135 已到账 其中NC23/0000135外账发票对应核销AVU23/0000241；</t>
    </r>
    <phoneticPr fontId="1" type="noConversion"/>
  </si>
  <si>
    <t>V_CAIXABANK</t>
  </si>
  <si>
    <t>V_CAIXABANK</t>
    <phoneticPr fontId="1" type="noConversion"/>
  </si>
  <si>
    <t>247603686</t>
  </si>
  <si>
    <t>LEFEI HUANG</t>
  </si>
  <si>
    <t>FT 23/0000244</t>
    <phoneticPr fontId="1" type="noConversion"/>
  </si>
  <si>
    <r>
      <t>523.03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客户：LEFEI HUANG 发票号:FT 23/0000244 已到账 ；</t>
    </r>
    <phoneticPr fontId="1" type="noConversion"/>
  </si>
  <si>
    <t>无</t>
    <phoneticPr fontId="1" type="noConversion"/>
  </si>
  <si>
    <t>无</t>
    <phoneticPr fontId="1" type="noConversion"/>
  </si>
  <si>
    <t>无</t>
    <phoneticPr fontId="1" type="noConversion"/>
  </si>
  <si>
    <t>https://caixaebankingonline.cgd.pt/</t>
    <phoneticPr fontId="1" type="noConversion"/>
  </si>
  <si>
    <t>CODIGO EMPRESA:7753567
user:4357799
password:668899</t>
    <phoneticPr fontId="1" type="noConversion"/>
  </si>
  <si>
    <t>CAJAMAR</t>
    <phoneticPr fontId="1" type="noConversion"/>
  </si>
  <si>
    <t>ES73 3058 0980 5127 2001 5330</t>
    <phoneticPr fontId="1" type="noConversion"/>
  </si>
  <si>
    <t>https://www.cajamar.es/es/empresas/</t>
    <phoneticPr fontId="1" type="noConversion"/>
  </si>
  <si>
    <t>账号：74618914</t>
  </si>
  <si>
    <t>密码：55a26362</t>
    <phoneticPr fontId="1" type="noConversion"/>
  </si>
  <si>
    <t>F_CAJAMAR</t>
  </si>
  <si>
    <t>F_CAJAMAR</t>
    <phoneticPr fontId="1" type="noConversion"/>
  </si>
  <si>
    <t>B09954314</t>
  </si>
  <si>
    <t>HOME CENTER BRETON S.L</t>
  </si>
  <si>
    <t>FTS23/0001306&amp;FTS23/0001511</t>
    <phoneticPr fontId="1" type="noConversion"/>
  </si>
  <si>
    <t>其中客户结清欠款，核销AUE23/0001346新增发票FTS23/0001511</t>
    <phoneticPr fontId="1" type="noConversion"/>
  </si>
  <si>
    <r>
      <t>748.53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客户：HOME CENTER BRETON S.L 发票号:FTS23/0001306&amp;FTS23/0001511 已到账 其中客户结清欠款，核销AUE23/0001346新增发票FTS23/0001511；</t>
    </r>
    <phoneticPr fontId="1" type="noConversion"/>
  </si>
  <si>
    <t>FTS23/0001354</t>
  </si>
  <si>
    <t>B55367437</t>
  </si>
  <si>
    <t>MALL STORE S.L</t>
  </si>
  <si>
    <t>FTS23/0001489&amp;FTS23/0001474&amp;FTS23/0001473</t>
    <phoneticPr fontId="1" type="noConversion"/>
  </si>
  <si>
    <t>B88322425</t>
  </si>
  <si>
    <t>RED COOL S.L</t>
  </si>
  <si>
    <t>FTS23/0001448</t>
  </si>
  <si>
    <t>X3462729X</t>
  </si>
  <si>
    <t>JIEZHONG XU</t>
  </si>
  <si>
    <t>FTS23/0001464</t>
  </si>
  <si>
    <t>X6826298J</t>
  </si>
  <si>
    <t>HONGJIE LAN</t>
  </si>
  <si>
    <t>FTS23/0001490</t>
  </si>
  <si>
    <t>B67600106</t>
  </si>
  <si>
    <t>MAXI CASA AMUNT S.L</t>
  </si>
  <si>
    <t>MAXI CASA AMUNT S.L FTS23/0001509&amp;FTS23/0001525</t>
    <phoneticPr fontId="1" type="noConversion"/>
  </si>
  <si>
    <r>
      <t>241.31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客户：EL AZRAK MERJANI HAMZA 发票号:FTS23/0001354 已到账 ；</t>
    </r>
    <phoneticPr fontId="1" type="noConversion"/>
  </si>
  <si>
    <r>
      <t>556.81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客户：MALL STORE S.L 发票号:FTS23/0001489&amp;FTS23/0001474&amp;FTS23/0001473 已到账 ；</t>
    </r>
    <phoneticPr fontId="1" type="noConversion"/>
  </si>
  <si>
    <r>
      <t>349.42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客户：RED COOL S.L 发票号:FTS23/0001448 已到账 CBL托付；</t>
    </r>
    <phoneticPr fontId="1" type="noConversion"/>
  </si>
  <si>
    <r>
      <t>585.99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客户：JIEZHONG XU 发票号:FTS23/0001464 已到账 ；</t>
    </r>
    <phoneticPr fontId="1" type="noConversion"/>
  </si>
  <si>
    <r>
      <t>357.19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客户：HONGJIE LAN 发票号:FTS23/0001490 已到账 ；</t>
    </r>
    <phoneticPr fontId="1" type="noConversion"/>
  </si>
  <si>
    <r>
      <t>598.11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客户：MAXI CASA AMUNT S.L 发票号:MAXI CASA AMUNT S.L FTS23/0001509&amp;FTS23/0001525 已到账 ；</t>
    </r>
    <phoneticPr fontId="1" type="noConversion"/>
  </si>
  <si>
    <t>Y0006503P</t>
  </si>
  <si>
    <t>CHEN XIA HONG</t>
  </si>
  <si>
    <t>FTS23/0001522</t>
  </si>
  <si>
    <t>其中外账发票FTS23/0001522是AFTS23/0000811开30%的发票</t>
    <phoneticPr fontId="1" type="noConversion"/>
  </si>
  <si>
    <t>FTS23/0001502</t>
  </si>
  <si>
    <t>X3079634A</t>
  </si>
  <si>
    <t>HONGQIN WEI</t>
  </si>
  <si>
    <t>FTS23/0001439</t>
    <phoneticPr fontId="1" type="noConversion"/>
  </si>
  <si>
    <t>FTS23/0001480</t>
  </si>
  <si>
    <r>
      <t>639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 XIA HONG 发票号:FTS23/0001522 已到账 其中外账发票FTS23/0001522是AFTS23/0000811开30%的发票；</t>
    </r>
    <phoneticPr fontId="1" type="noConversion"/>
  </si>
  <si>
    <r>
      <t>234.44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客户：GUOFENG LIANG 发票号:FTS23/0001502 已到账 ；</t>
    </r>
    <phoneticPr fontId="1" type="noConversion"/>
  </si>
  <si>
    <r>
      <t>385.86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客户：HONGQIN WEI 发票号:FTS23/0001439 已到账 ；</t>
    </r>
    <phoneticPr fontId="1" type="noConversion"/>
  </si>
  <si>
    <r>
      <t>76.02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客户：HONGQIN WEI 发票号:FTS23/0001480 已到账 ；</t>
    </r>
    <phoneticPr fontId="1" type="noConversion"/>
  </si>
  <si>
    <t>X6673377L</t>
  </si>
  <si>
    <t>LE WANG</t>
  </si>
  <si>
    <t>FTS23/0001478</t>
  </si>
  <si>
    <t>X5433957T</t>
  </si>
  <si>
    <t>LINGWEI ZHANG</t>
  </si>
  <si>
    <t>FTS23/0001497&amp;FTS23/0001488</t>
    <phoneticPr fontId="1" type="noConversion"/>
  </si>
  <si>
    <t>X5352455X</t>
  </si>
  <si>
    <t>HUANLIANG YANG</t>
  </si>
  <si>
    <t>FTS23/0001492</t>
  </si>
  <si>
    <t>UE22/0002544</t>
    <phoneticPr fontId="1" type="noConversion"/>
  </si>
  <si>
    <t>转给UNICO</t>
    <phoneticPr fontId="1" type="noConversion"/>
  </si>
  <si>
    <r>
      <t>511.91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客户：LE WANG 发票号:FTS23/0001478 已到账 ；</t>
    </r>
    <phoneticPr fontId="1" type="noConversion"/>
  </si>
  <si>
    <r>
      <t>101.32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客户：LINGWEI ZHANG 发票号:FTS23/0001497&amp;FTS23/0001488 已到账 ；</t>
    </r>
    <phoneticPr fontId="1" type="noConversion"/>
  </si>
  <si>
    <r>
      <t>227.79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客户：HUANLIANG YANG 发票号:FTS23/0001492 已到账 ；</t>
    </r>
    <phoneticPr fontId="1" type="noConversion"/>
  </si>
  <si>
    <t>工人社保</t>
    <phoneticPr fontId="1" type="noConversion"/>
  </si>
  <si>
    <t>263863166</t>
  </si>
  <si>
    <t>JINWEI ZHANG</t>
  </si>
  <si>
    <t>FT 23/0000248</t>
  </si>
  <si>
    <r>
      <t>435.93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客户：JINWEI ZHANG 发票号:FT 23/0000248 已到账 ；</t>
    </r>
    <phoneticPr fontId="1" type="noConversion"/>
  </si>
  <si>
    <t>55041860P</t>
  </si>
  <si>
    <t xml:space="preserve">YINGYING MAOXU </t>
  </si>
  <si>
    <t>FTS23/0001451</t>
  </si>
  <si>
    <t>B87151197</t>
  </si>
  <si>
    <t>BEST LICENCIAS S.L</t>
  </si>
  <si>
    <t>FTS23/0000730</t>
  </si>
  <si>
    <t>FTS23/0001195</t>
  </si>
  <si>
    <t>B70550041</t>
  </si>
  <si>
    <t>SUPER BAZAR HAOJIE, S.L.</t>
  </si>
  <si>
    <t>FTS23/0001521</t>
  </si>
  <si>
    <t>支付部分金额，剩余未付66.85</t>
    <phoneticPr fontId="1" type="noConversion"/>
  </si>
  <si>
    <t>B90121336</t>
  </si>
  <si>
    <t>MANAELECTRONICO S.L</t>
  </si>
  <si>
    <t>FTS23/0001194</t>
  </si>
  <si>
    <t>核销AFTS23/0000425</t>
    <phoneticPr fontId="1" type="noConversion"/>
  </si>
  <si>
    <t>Y4611980B</t>
  </si>
  <si>
    <t>HAN WEIFENG</t>
  </si>
  <si>
    <t>FTS23/0001539</t>
  </si>
  <si>
    <r>
      <t>482.48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客户：YINGYING MAOXU  发票号:FTS23/0001451 已到账 ；</t>
    </r>
    <phoneticPr fontId="1" type="noConversion"/>
  </si>
  <si>
    <r>
      <t>70.43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客户：BEST LICENCIAS S.L 发票号:FTS23/0000730 已到账 ；</t>
    </r>
    <phoneticPr fontId="1" type="noConversion"/>
  </si>
  <si>
    <r>
      <t>17.1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客户：BEST LICENCIAS S.L 发票号:FTS23/0001195 已到账 ；</t>
    </r>
    <phoneticPr fontId="1" type="noConversion"/>
  </si>
  <si>
    <r>
      <t>256.13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客户：SUPER BAZAR HAOJIE, S.L. 发票号:FTS23/0001521 已到账 支付部分金额，剩余未付66.85；</t>
    </r>
    <phoneticPr fontId="1" type="noConversion"/>
  </si>
  <si>
    <r>
      <t>1522.28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客户：MANAELECTRONICO S.L 发票号:FTS23/0001194 已到账 核销AFTS23/0000425；</t>
    </r>
    <phoneticPr fontId="1" type="noConversion"/>
  </si>
  <si>
    <r>
      <t>456.89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客户：HAN WEIFENG 发票号:FTS23/0001539 已到账 ；</t>
    </r>
    <phoneticPr fontId="1" type="noConversion"/>
  </si>
  <si>
    <t>B87568283</t>
  </si>
  <si>
    <t>MAJA PROHOGAR S.L</t>
  </si>
  <si>
    <t>FTS23/0001495</t>
  </si>
  <si>
    <t>B09657651</t>
  </si>
  <si>
    <t>MERCA VALL 2022 S.L.</t>
  </si>
  <si>
    <t>优速联购汇，无需核销</t>
    <phoneticPr fontId="1" type="noConversion"/>
  </si>
  <si>
    <t>支_供应商</t>
  </si>
  <si>
    <t>esp支付，付款登记</t>
    <phoneticPr fontId="1" type="noConversion"/>
  </si>
  <si>
    <t>516590677</t>
  </si>
  <si>
    <t>HAOYUNLAI LDA</t>
  </si>
  <si>
    <t>FT 23/0000250</t>
  </si>
  <si>
    <t>684.2€ 客户：MAJA PROHOGAR S.L 发票号:FTS23/0001495 已到账 ；</t>
    <phoneticPr fontId="1" type="noConversion"/>
  </si>
  <si>
    <t>513154108</t>
  </si>
  <si>
    <t>SUCCESSAGENDA LDA 郭正</t>
    <phoneticPr fontId="1" type="noConversion"/>
  </si>
  <si>
    <t>FT 23/0000105|FT 23/0000064NC 23/0000028|NC 23/0000045|NC 23/0000090</t>
    <phoneticPr fontId="1" type="noConversion"/>
  </si>
  <si>
    <t>514606240</t>
  </si>
  <si>
    <t>GABARITO POSTIVO UNIPESSOAL LDA 王军</t>
    <phoneticPr fontId="1" type="noConversion"/>
  </si>
  <si>
    <t>FT 23/0000169</t>
  </si>
  <si>
    <t>支票兑换</t>
    <phoneticPr fontId="1" type="noConversion"/>
  </si>
  <si>
    <r>
      <t>926.98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客户：HAOYUNLAI LDA 发票号:FT 23/0000250 已到账 ；</t>
    </r>
    <phoneticPr fontId="1" type="noConversion"/>
  </si>
  <si>
    <r>
      <t>7053.88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客户：SUCCESSAGENDA LDA 郭正 发票号:FT 23/0000105|FT 23/0000064NC 23/0000028|NC 23/0000045|NC 23/0000090 已到账 支票兑换；</t>
    </r>
    <phoneticPr fontId="1" type="noConversion"/>
  </si>
  <si>
    <r>
      <t>1588.22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客户：GABARITO POSTIVO UNIPESSOAL LDA 王军 发票号:FT 23/0000169 已到账 支票兑换；</t>
    </r>
    <phoneticPr fontId="1" type="noConversion"/>
  </si>
  <si>
    <t>X0887503W</t>
  </si>
  <si>
    <t>YUDING HU</t>
  </si>
  <si>
    <t>FTS23/0001470</t>
  </si>
  <si>
    <r>
      <t>342.74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客户：YUDING HU 发票号:FTS23/0001470 已到账 CBL托付；</t>
    </r>
    <phoneticPr fontId="1" type="noConversion"/>
  </si>
  <si>
    <t>支付企业所得税</t>
    <phoneticPr fontId="1" type="noConversion"/>
  </si>
  <si>
    <t>支付香港优速联汇款美元</t>
    <phoneticPr fontId="1" type="noConversion"/>
  </si>
  <si>
    <t>B67468389-2</t>
  </si>
  <si>
    <t>COUSINESHOP 2019 S.L</t>
  </si>
  <si>
    <t>FTS23/0001548</t>
  </si>
  <si>
    <t>其中外账发票FTS23/0001548 核销AFTS23/0000702</t>
    <phoneticPr fontId="1" type="noConversion"/>
  </si>
  <si>
    <t>B95714788</t>
  </si>
  <si>
    <t>XIN SHI JI TRADE CENTER S.L 新世纪</t>
  </si>
  <si>
    <t>FTS23/0001348</t>
  </si>
  <si>
    <t>FTS23/0000986</t>
  </si>
  <si>
    <t>FTS23/0000701</t>
  </si>
  <si>
    <t>2478.98€ 客户：MERCA VALL 2022 S.L. 发票号:FTS23/0001520 已到账 ；</t>
    <phoneticPr fontId="1" type="noConversion"/>
  </si>
  <si>
    <r>
      <t>540.44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客户：COUSINESHOP 2019 S.L 发票号:FTS23/0001548 已到账 其中外账发票FTS23/0001548 核销AFTS23/0000702；</t>
    </r>
    <phoneticPr fontId="1" type="noConversion"/>
  </si>
  <si>
    <r>
      <t>2815.68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 SHI JI TRADE CENTER S.L 新世纪 发票号:FTS23/0001348 已到账 ；</t>
    </r>
    <phoneticPr fontId="1" type="noConversion"/>
  </si>
  <si>
    <r>
      <t>1103.6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 SHI JI TRADE CENTER S.L 新世纪 发票号:FTS23/0000986 已到账 ；</t>
    </r>
    <phoneticPr fontId="1" type="noConversion"/>
  </si>
  <si>
    <r>
      <t>2595.96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 SHI JI TRADE CENTER S.L 新世纪 发票号:FTS23/0000701 已到账 ；</t>
    </r>
    <phoneticPr fontId="1" type="noConversion"/>
  </si>
  <si>
    <t>X4139546Y</t>
  </si>
  <si>
    <t>ZHU GUOFENG</t>
  </si>
  <si>
    <t>FTS23/0001449&amp;FTS23/0001493&amp;FTS23/0001553</t>
    <phoneticPr fontId="1" type="noConversion"/>
  </si>
  <si>
    <t>CBL托付</t>
    <phoneticPr fontId="1" type="noConversion"/>
  </si>
  <si>
    <t>X3583567Y</t>
  </si>
  <si>
    <t>LIYONG SHAN</t>
  </si>
  <si>
    <t>FTS23/0001528</t>
  </si>
  <si>
    <r>
      <t>725.47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客户：ZHU GUOFENG 发票号:FTS23/0001449&amp;FTS23/0001493&amp;FTS23/0001553 已到账 CBL托付；</t>
    </r>
    <phoneticPr fontId="1" type="noConversion"/>
  </si>
  <si>
    <r>
      <t>609.93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客户：LIYONG SHAN 发票号:FTS23/0001528 已到账 ；</t>
    </r>
    <phoneticPr fontId="1" type="noConversion"/>
  </si>
  <si>
    <t>FTS23/0001554</t>
    <phoneticPr fontId="1" type="noConversion"/>
  </si>
  <si>
    <r>
      <t>3767.66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 SHI JI TRADE CENTER S.L 新世纪 发票号:FTS23/0001554 已到账 ；</t>
    </r>
    <phoneticPr fontId="1" type="noConversion"/>
  </si>
  <si>
    <t>B16312951</t>
  </si>
  <si>
    <t>LA FAMILIA ZHOU S.L</t>
  </si>
  <si>
    <t>FTS23/0000963&amp;FTS23/0001294&amp;FTS23/0001300&amp;FTS23/0001468</t>
    <phoneticPr fontId="1" type="noConversion"/>
  </si>
  <si>
    <r>
      <t>1022.79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客户：LA FAMILIA ZHOU S.L 发票号:FTS23/0000963&amp;FTS23/0001294&amp;FTS23/0001300&amp;FTS23/0001468 已到账 ；</t>
    </r>
    <phoneticPr fontId="1" type="noConversion"/>
  </si>
  <si>
    <t>B09657651</t>
    <phoneticPr fontId="1" type="noConversion"/>
  </si>
  <si>
    <t>FTS23/0001520&amp;FTS22/0000616&amp;FTS22/0000309&amp;FTS23/0001519&amp;FTS23/0001568&amp;FTS23/0001565</t>
    <phoneticPr fontId="1" type="noConversion"/>
  </si>
  <si>
    <t>B66366824</t>
  </si>
  <si>
    <t>BASAR LLUIS COMPANYS S.L</t>
  </si>
  <si>
    <t>FTS23/0001542&amp;FTS23/0001536</t>
    <phoneticPr fontId="1" type="noConversion"/>
  </si>
  <si>
    <r>
      <t>480.29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客户：BASAR LLUIS COMPANYS S.L 发票号:FTS23/0001542&amp;FTS23/0001536 已到账 ；</t>
    </r>
    <phoneticPr fontId="1" type="noConversion"/>
  </si>
  <si>
    <t>Y3426987R</t>
  </si>
  <si>
    <t>NAIYU WANG</t>
  </si>
  <si>
    <t>FTS23/0001499&amp;FTS23/0001552</t>
    <phoneticPr fontId="1" type="noConversion"/>
  </si>
  <si>
    <r>
      <t>349.7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客户：NAIYU WANG 发票号:FTS23/0001499&amp;FTS23/0001552 已到账 ；</t>
    </r>
    <phoneticPr fontId="1" type="noConversion"/>
  </si>
  <si>
    <t>B70344908</t>
  </si>
  <si>
    <t>EURO HOGAR CARBALLO S.L</t>
  </si>
  <si>
    <t>FTS23/0001549</t>
  </si>
  <si>
    <r>
      <t>1345.73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客户：EURO HOGAR CARBALLO S.L 发票号:FTS23/0001549 已到账 ；</t>
    </r>
    <phoneticPr fontId="1" type="noConversion"/>
  </si>
  <si>
    <t>转给UNICO</t>
    <phoneticPr fontId="1" type="noConversion"/>
  </si>
  <si>
    <t>B99490054</t>
  </si>
  <si>
    <t>HUA TAI S.L</t>
  </si>
  <si>
    <t>X7317999C</t>
  </si>
  <si>
    <t>WEN XIN</t>
  </si>
  <si>
    <t>B87199642</t>
  </si>
  <si>
    <t>EURO BAZAR JIN S.L</t>
  </si>
  <si>
    <t>X2584772D</t>
  </si>
  <si>
    <t>QIBIAO HUANG</t>
  </si>
  <si>
    <t xml:space="preserve"> FTS23/0001500</t>
    <phoneticPr fontId="1" type="noConversion"/>
  </si>
  <si>
    <t>CBL托收</t>
  </si>
  <si>
    <t>CBL托收</t>
    <phoneticPr fontId="1" type="noConversion"/>
  </si>
  <si>
    <t>FTS23/0001508&amp;FTS23/0001446</t>
    <phoneticPr fontId="1" type="noConversion"/>
  </si>
  <si>
    <t>FTS23/0001523&amp;FTS23/0001505&amp;FTS23/0001504&amp;FTS23/0001223</t>
    <phoneticPr fontId="1" type="noConversion"/>
  </si>
  <si>
    <t>FTS23/0001507&amp;FTS23/0001529</t>
    <phoneticPr fontId="1" type="noConversion"/>
  </si>
  <si>
    <r>
      <t>710.63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客户：HUA TAI S.L 发票号:FTS23/0001507&amp;FTS23/0001529 已到账 CBL托收；</t>
    </r>
    <phoneticPr fontId="1" type="noConversion"/>
  </si>
  <si>
    <r>
      <t>912.92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客户：WEN XIN 发票号:FTS23/0001523&amp;FTS23/0001505&amp;FTS23/0001504&amp;FTS23/0001223 已到账 CBL托收；</t>
    </r>
    <phoneticPr fontId="1" type="noConversion"/>
  </si>
  <si>
    <r>
      <t>446.9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客户：EURO BAZAR JIN S.L 发票号:FTS23/0001508&amp;FTS23/0001446 已到账 CBL托收；</t>
    </r>
    <phoneticPr fontId="1" type="noConversion"/>
  </si>
  <si>
    <r>
      <t>402.91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客户：QIBIAO HUANG 发票号: FTS23/0001500 已到账 CBL托收；</t>
    </r>
    <phoneticPr fontId="1" type="noConversion"/>
  </si>
  <si>
    <t>B06855878</t>
  </si>
  <si>
    <t>XINGFA 2021 S.L</t>
  </si>
  <si>
    <t>FTS23/0001561</t>
    <phoneticPr fontId="1" type="noConversion"/>
  </si>
  <si>
    <r>
      <t>487.95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客户：XINGFA 2021 S.L 发票号:FTS23/0001561 已到账 ；</t>
    </r>
    <phoneticPr fontId="1" type="noConversion"/>
  </si>
  <si>
    <t>189256338</t>
  </si>
  <si>
    <t>XIAOKANG WANG</t>
  </si>
  <si>
    <t>FT 23/0000252</t>
  </si>
  <si>
    <r>
      <t>1387.49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客户：XIAOKANG WANG 发票号:FT 23/0000252 已到账 ；</t>
    </r>
    <phoneticPr fontId="1" type="noConversion"/>
  </si>
  <si>
    <t>B02837938</t>
  </si>
  <si>
    <t>MI BAZAR S.L 王晓雪</t>
  </si>
  <si>
    <t>B02837938</t>
    <phoneticPr fontId="1" type="noConversion"/>
  </si>
  <si>
    <t>FTS23/0001585</t>
  </si>
  <si>
    <t>B95912697</t>
  </si>
  <si>
    <t>TRESOR TROVE S.L.</t>
  </si>
  <si>
    <t>FTS23/0001544</t>
  </si>
  <si>
    <t>521.21€ 客户：MI BAZAR S.L 王晓雪 发票号:FTS23/0001585 已到账 ；</t>
    <phoneticPr fontId="1" type="noConversion"/>
  </si>
  <si>
    <t>B01918101</t>
  </si>
  <si>
    <t>BAZARHU 2020 S.L</t>
  </si>
  <si>
    <t>FTS23/0000816</t>
  </si>
  <si>
    <t>支票已兑</t>
    <phoneticPr fontId="1" type="noConversion"/>
  </si>
  <si>
    <t>276.25€ 客户：TRESOR TROVE S.L. 发票号:FTS23/0001544 已到账 ；</t>
    <phoneticPr fontId="1" type="noConversion"/>
  </si>
  <si>
    <r>
      <t>2000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客户：BAZARHU 2020 S.L 发票号:FTS23/0000816 已到账 支票已兑；</t>
    </r>
    <phoneticPr fontId="1" type="noConversion"/>
  </si>
  <si>
    <t>员工保险</t>
  </si>
  <si>
    <t>员工保险</t>
    <phoneticPr fontId="1" type="noConversion"/>
  </si>
  <si>
    <t>老板保险</t>
  </si>
  <si>
    <t>老板保险</t>
    <phoneticPr fontId="1" type="noConversion"/>
  </si>
  <si>
    <t>B87975173</t>
  </si>
  <si>
    <t>ASIAN GARDEN SECRET S.L</t>
  </si>
  <si>
    <t>B87975173</t>
    <phoneticPr fontId="1" type="noConversion"/>
  </si>
  <si>
    <t>FTS23/0001534&amp;FTS23/0001452</t>
  </si>
  <si>
    <r>
      <t>959.95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客户：ASIAN GARDEN SECRET S.L 发票号:FTS23/0001534&amp;FTS23/0001452 已到账 ；</t>
    </r>
    <phoneticPr fontId="1" type="noConversion"/>
  </si>
  <si>
    <t>258957611</t>
  </si>
  <si>
    <t>WEIYUE LIU</t>
  </si>
  <si>
    <t>NC 22/0000047&amp;NC 22/0000062&amp;NC 22/0000090&amp;NC 23/0000011&amp;FT 23/0000107&amp;NC 23/0000094&amp;NC 23/0000122</t>
    <phoneticPr fontId="1" type="noConversion"/>
  </si>
  <si>
    <r>
      <t>937.23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客户：WEIYUE LIU 发票号:NC 22/0000047&amp;NC 22/0000062&amp;NC 22/0000090&amp;NC 23/0000011&amp;FT 23/0000107&amp;NC 23/0000094&amp;NC 23/0000122 已到账 ；</t>
    </r>
    <phoneticPr fontId="1" type="noConversion"/>
  </si>
  <si>
    <t>B72411846</t>
  </si>
  <si>
    <t>SUPER BAZAR NOIA S.L</t>
  </si>
  <si>
    <t>FTS23/0001589</t>
  </si>
  <si>
    <t>X8549237E</t>
  </si>
  <si>
    <t>LEI YE</t>
  </si>
  <si>
    <t>FTS23/0001579</t>
  </si>
  <si>
    <t xml:space="preserve">X2179118Y </t>
  </si>
  <si>
    <t>FU LIN</t>
  </si>
  <si>
    <t xml:space="preserve"> FTS23/0001543&amp;FTS23/0001535</t>
  </si>
  <si>
    <r>
      <t>772.19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客户：SUPER BAZAR NOIA S.L 发票号:FTS23/0001589 已到账 ；</t>
    </r>
    <phoneticPr fontId="1" type="noConversion"/>
  </si>
  <si>
    <r>
      <t>918.58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客户：LEI YE 发票号:FTS23/0001579 已到账 ；</t>
    </r>
    <phoneticPr fontId="1" type="noConversion"/>
  </si>
  <si>
    <r>
      <t>571.88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客户：FU LIN 发票号: FTS23/0001543&amp;FTS23/0001535 已到账 ；</t>
    </r>
    <phoneticPr fontId="1" type="noConversion"/>
  </si>
  <si>
    <t>1A/234236</t>
    <phoneticPr fontId="1" type="noConversion"/>
  </si>
  <si>
    <t>CBL</t>
    <phoneticPr fontId="1" type="noConversion"/>
  </si>
  <si>
    <t>B65868234</t>
  </si>
  <si>
    <t>XINA CENTER S.L</t>
  </si>
  <si>
    <t>FTS23/0001491&amp;FTS23/0001482</t>
  </si>
  <si>
    <t>B42837336</t>
  </si>
  <si>
    <t>SUPER DENFU S.L</t>
  </si>
  <si>
    <t xml:space="preserve"> FTS23/0001286</t>
  </si>
  <si>
    <t>B65849564</t>
  </si>
  <si>
    <t>XINGTAI 2011 S.L</t>
  </si>
  <si>
    <t>FTS23/0001580&amp;FTS23/0001598</t>
  </si>
  <si>
    <t>手续费</t>
    <phoneticPr fontId="1" type="noConversion"/>
  </si>
  <si>
    <t>B70567433</t>
  </si>
  <si>
    <t>EURO CIEN ASIA BETANZOS S.L</t>
  </si>
  <si>
    <t>FTS23/0001611&amp;FTS23/0001596</t>
  </si>
  <si>
    <t>福州优速联</t>
    <phoneticPr fontId="1" type="noConversion"/>
  </si>
  <si>
    <t>B85778710</t>
  </si>
  <si>
    <t>CHENSI HIPERHOGAR S.L</t>
  </si>
  <si>
    <t>FTS23/0001560</t>
  </si>
  <si>
    <t>B16964124</t>
  </si>
  <si>
    <t>PROPICIO 168 S.L</t>
  </si>
  <si>
    <t>FTS23/0001501</t>
  </si>
  <si>
    <r>
      <t>635.85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客户：XINA CENTER S.L 发票号:FTS23/0001491&amp;FTS23/0001482 已到账 CBL托收；</t>
    </r>
    <phoneticPr fontId="1" type="noConversion"/>
  </si>
  <si>
    <r>
      <t>535.21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客户：SUPER DENFU S.L 发票号: FTS23/0001286 已到账 ；</t>
    </r>
    <phoneticPr fontId="1" type="noConversion"/>
  </si>
  <si>
    <r>
      <t>457.63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客户：XINGTAI 2011 S.L 发票号:FTS23/0001580&amp;FTS23/0001598 已到账 ；</t>
    </r>
    <phoneticPr fontId="1" type="noConversion"/>
  </si>
  <si>
    <r>
      <t>858.19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客户：EURO CIEN ASIA BETANZOS S.L 发票号:FTS23/0001611&amp;FTS23/0001596 已到账 ；</t>
    </r>
    <phoneticPr fontId="1" type="noConversion"/>
  </si>
  <si>
    <r>
      <t>481.8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客户：CHENSI HIPERHOGAR S.L 发票号:FTS23/0001560 已到账 ；</t>
    </r>
    <phoneticPr fontId="1" type="noConversion"/>
  </si>
  <si>
    <r>
      <t>719.23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客户：PROPICIO 168 S.L 发票号:FTS23/0001501 已到账 ；</t>
    </r>
    <phoneticPr fontId="1" type="noConversion"/>
  </si>
  <si>
    <t>X5831681P</t>
  </si>
  <si>
    <t>RENYONG WU</t>
  </si>
  <si>
    <t>FTS23/0001559</t>
  </si>
  <si>
    <t>X5045844N</t>
  </si>
  <si>
    <t>LIZU HUANG</t>
  </si>
  <si>
    <t>FTS23/0001288&amp;FTS23/0001428</t>
  </si>
  <si>
    <r>
      <t>409.82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客户：RENYONG WU 发票号:FTS23/0001559 已到账 ；</t>
    </r>
    <phoneticPr fontId="1" type="noConversion"/>
  </si>
  <si>
    <r>
      <t>529.04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客户：LIZU HUANG 发票号:FTS23/0001288&amp;FTS23/0001428 已到账 ；</t>
    </r>
    <phoneticPr fontId="1" type="noConversion"/>
  </si>
  <si>
    <t>B16552770</t>
  </si>
  <si>
    <t>NEW BEST S.L 新东方</t>
  </si>
  <si>
    <t>FTS23/0000276&amp;FTS23/0000275</t>
  </si>
  <si>
    <t>B02653186</t>
  </si>
  <si>
    <t>HUI JUN ZI 2020 S.L</t>
  </si>
  <si>
    <t>FTS23/0001620</t>
  </si>
  <si>
    <r>
      <t>4339.88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客户：NEW BEST S.L 新东方 发票号:FTS23/0000276&amp;FTS23/0000275 已到账 ；</t>
    </r>
    <phoneticPr fontId="1" type="noConversion"/>
  </si>
  <si>
    <r>
      <t>1437.04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客户：HUI JUN ZI 2020 S.L 发票号:FTS23/0001620 已到账 ；</t>
    </r>
    <phoneticPr fontId="1" type="noConversion"/>
  </si>
  <si>
    <t>X2722286Y</t>
  </si>
  <si>
    <t>LIDI JIN</t>
  </si>
  <si>
    <t>FTS23/0001644&amp;FTS23/0001659&amp;FTS23/0000742</t>
  </si>
  <si>
    <t>B95635231</t>
  </si>
  <si>
    <t>LITXU MEGAPARK S.L.</t>
  </si>
  <si>
    <t>FTS23/0001512&amp;FTS23/0001547&amp;FTS23/0001660</t>
  </si>
  <si>
    <r>
      <t>525.07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客户：LIDI JIN 发票号:FTS23/0001644&amp;FTS23/0001659&amp;FTS23/0000742 已到账 ；</t>
    </r>
    <phoneticPr fontId="1" type="noConversion"/>
  </si>
  <si>
    <r>
      <t>344.03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客户：LITXU MEGAPARK S.L. 发票号:FTS23/0001512&amp;FTS23/0001547&amp;FTS23/0001660 已到账 ；</t>
    </r>
    <phoneticPr fontId="1" type="noConversion"/>
  </si>
  <si>
    <t>X6764871L</t>
  </si>
  <si>
    <t>YU CHEN</t>
  </si>
  <si>
    <t>FTS23/0001545</t>
  </si>
  <si>
    <t>FTS23/0001632</t>
  </si>
  <si>
    <t>B44793123</t>
  </si>
  <si>
    <t>VIURE VIC 2023 S.L</t>
  </si>
  <si>
    <t>FTS23/0001516</t>
  </si>
  <si>
    <t>X6094019P</t>
  </si>
  <si>
    <t>BILUAN CHEN</t>
  </si>
  <si>
    <t xml:space="preserve"> FTS23/0001616&amp;FTS23/0001608&amp;FTS23/0001614&amp;FTS23/0001662</t>
  </si>
  <si>
    <t>B88250758</t>
  </si>
  <si>
    <t>JIA SHUN HE XIANG S.L</t>
  </si>
  <si>
    <t>FTS23/0001604&amp;FTS23/0001575&amp;FTS23/0001103</t>
  </si>
  <si>
    <t>X4962187Y</t>
  </si>
  <si>
    <t>CHEN XUEPEI</t>
  </si>
  <si>
    <t>FTS23/0001605</t>
  </si>
  <si>
    <r>
      <t>199.13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客户：YU CHEN 发票号:FTS23/0001545 已到账 CBL托收；</t>
    </r>
    <phoneticPr fontId="1" type="noConversion"/>
  </si>
  <si>
    <r>
      <t>221.35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客户：TEMING CHENG 发票号:FTS23/0001632 已到账 ；</t>
    </r>
    <phoneticPr fontId="1" type="noConversion"/>
  </si>
  <si>
    <r>
      <t>2662.35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客户：VIURE VIC 2023 S.L 发票号:FTS23/0001516 已到账 ；</t>
    </r>
    <phoneticPr fontId="1" type="noConversion"/>
  </si>
  <si>
    <r>
      <t>248.87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客户：BILUAN CHEN 发票号: FTS23/0001616&amp;FTS23/0001608&amp;FTS23/0001614&amp;FTS23/0001662 已到账 CBL托收；</t>
    </r>
    <phoneticPr fontId="1" type="noConversion"/>
  </si>
  <si>
    <r>
      <t>157.41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客户：JIA SHUN HE XIANG S.L 发票号:FTS23/0001604&amp;FTS23/0001575&amp;FTS23/0001103 已到账 CBL托收；</t>
    </r>
    <phoneticPr fontId="1" type="noConversion"/>
  </si>
  <si>
    <r>
      <t>261.59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 XUEPEI 发票号:FTS23/0001605 已到账 CBL托收；</t>
    </r>
    <phoneticPr fontId="1" type="noConversion"/>
  </si>
  <si>
    <t>B90296666</t>
  </si>
  <si>
    <t>STOCK IN SPAIN ELECTRONICS S.L 步步高</t>
    <phoneticPr fontId="1" type="noConversion"/>
  </si>
  <si>
    <t>FTS23/1513</t>
  </si>
  <si>
    <t>B87866638</t>
  </si>
  <si>
    <t>B87866638</t>
    <phoneticPr fontId="1" type="noConversion"/>
  </si>
  <si>
    <t>MARK ZUX S.L.</t>
  </si>
  <si>
    <t>FTS23/0000930&amp;FTS23/0000932</t>
  </si>
  <si>
    <r>
      <t>3500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客户：STOCK IN SPAIN ELECTRONICS S.L 步步高 发票号:FTS23/1513 已到账 支票已兑；</t>
    </r>
    <phoneticPr fontId="1" type="noConversion"/>
  </si>
  <si>
    <r>
      <t>869.18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客户：MARK ZUX S.L. 发票号:FTS23/0000930&amp;FTS23/0000932 已到账 支票已兑；</t>
    </r>
    <phoneticPr fontId="1" type="noConversion"/>
  </si>
  <si>
    <t>郑奔借款10000</t>
    <phoneticPr fontId="1" type="noConversion"/>
  </si>
  <si>
    <t>caixa</t>
    <phoneticPr fontId="1" type="noConversion"/>
  </si>
  <si>
    <t>郑奔借款5000</t>
    <phoneticPr fontId="1" type="noConversion"/>
  </si>
  <si>
    <t>B67947036</t>
  </si>
  <si>
    <t>CORTECHINO JJZ S.L</t>
  </si>
  <si>
    <t>B67947036</t>
    <phoneticPr fontId="1" type="noConversion"/>
  </si>
  <si>
    <t>X5529825G</t>
  </si>
  <si>
    <t>JINGYI ZHU</t>
  </si>
  <si>
    <t xml:space="preserve"> FTS23/0001530&amp;FTS23/0001537&amp;FTS23/0001515</t>
  </si>
  <si>
    <r>
      <t>166.31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客户：CORTECHINO JJZ S.L 发票号:B67947036 已到账 CBL托收；</t>
    </r>
    <phoneticPr fontId="1" type="noConversion"/>
  </si>
  <si>
    <r>
      <t>516.14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客户：JINGYI ZHU 发票号: FTS23/0001530&amp;FTS23/0001537&amp;FTS23/0001515 已到账 ；</t>
    </r>
    <phoneticPr fontId="1" type="noConversion"/>
  </si>
  <si>
    <t>X4946362M</t>
  </si>
  <si>
    <t>CHEN YIBING</t>
  </si>
  <si>
    <t>FTS23/0001650&amp;FTS23/0001631&amp;FTS23/0001630&amp;FTS23/0001629&amp;FTS23/0001672&amp;FTS23/0001673</t>
  </si>
  <si>
    <t>Y0599661L</t>
  </si>
  <si>
    <t>KUNFANG ZHU</t>
  </si>
  <si>
    <t>FTS23/0001664</t>
  </si>
  <si>
    <t>FTS23/0001663</t>
    <phoneticPr fontId="1" type="noConversion"/>
  </si>
  <si>
    <t>开给CASA INMENSA S.L的外账发票</t>
    <phoneticPr fontId="1" type="noConversion"/>
  </si>
  <si>
    <r>
      <t>215.08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 YIBING 发票号:FTS23/0001650&amp;FTS23/0001631&amp;FTS23/0001630&amp;FTS23/0001629&amp;FTS23/0001672&amp;FTS23/0001673 已到账 ；</t>
    </r>
    <phoneticPr fontId="1" type="noConversion"/>
  </si>
  <si>
    <r>
      <t>3062.33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客户：KUNFANG ZHU 发票号:FTS23/0001663 已到账 ；</t>
    </r>
    <phoneticPr fontId="1" type="noConversion"/>
  </si>
  <si>
    <r>
      <t>3062.33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客户：KUNFANG ZHU 发票号:FTS23/0001664 已到账 开给CASA INMENSA S.L的外账发票；</t>
    </r>
    <phoneticPr fontId="1" type="noConversion"/>
  </si>
  <si>
    <t>PAGA LA ESPADA S.L  发票号：2023/MAR/1417</t>
    <phoneticPr fontId="1" type="noConversion"/>
  </si>
  <si>
    <t>2023/MAR/1417</t>
  </si>
  <si>
    <t>X8069483W</t>
  </si>
  <si>
    <t>CHENG HONG</t>
  </si>
  <si>
    <t>FTS23/0001668</t>
  </si>
  <si>
    <r>
      <t>370.7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客户：CHENG HONG 发票号:FTS23/0001668 已到账 ；</t>
    </r>
    <phoneticPr fontId="1" type="noConversion"/>
  </si>
  <si>
    <t>UE22/0002544</t>
  </si>
  <si>
    <t>unico-ibercaja</t>
    <phoneticPr fontId="1" type="noConversion"/>
  </si>
  <si>
    <t>future-cajamar</t>
    <phoneticPr fontId="1" type="noConversion"/>
  </si>
  <si>
    <t>X5626951R</t>
  </si>
  <si>
    <t>LIFEN LIU</t>
  </si>
  <si>
    <t>FTS23/0001667</t>
  </si>
  <si>
    <t>员工工资</t>
  </si>
  <si>
    <t>员工工资</t>
    <phoneticPr fontId="1" type="noConversion"/>
  </si>
  <si>
    <t>运输费-xiaobin</t>
  </si>
  <si>
    <t>运输费-xiaobin</t>
    <phoneticPr fontId="1" type="noConversion"/>
  </si>
  <si>
    <t>factura 7</t>
    <phoneticPr fontId="1" type="noConversion"/>
  </si>
  <si>
    <t>B66843913</t>
  </si>
  <si>
    <t>AMITOFORTUNA S.L</t>
  </si>
  <si>
    <t>FTS23/0000789|FTS23/0000793|FTS23/0000820</t>
  </si>
  <si>
    <t>B09848680</t>
  </si>
  <si>
    <t>MEGABAZAR ARROYO S.L</t>
  </si>
  <si>
    <t>FTS23/0001376核销AFTS23/0000190</t>
    <phoneticPr fontId="1" type="noConversion"/>
  </si>
  <si>
    <t>B57926271</t>
  </si>
  <si>
    <t>MERCA ORIENTE SANT ANTONI S.L</t>
  </si>
  <si>
    <t>FTS23/0001643</t>
  </si>
  <si>
    <r>
      <t>398.88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客户：LIFEN LIU 发票号:FTS23/0001667 已到账 ；</t>
    </r>
    <phoneticPr fontId="1" type="noConversion"/>
  </si>
  <si>
    <r>
      <t>1425.29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客户：AMITOFORTUNA S.L 发票号:FTS23/0000789|FTS23/0000793|FTS23/0000820 已到账 支票已兑；</t>
    </r>
    <phoneticPr fontId="1" type="noConversion"/>
  </si>
  <si>
    <r>
      <t>812.43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客户：MEGABAZAR ARROYO S.L 发票号:FTS23/0001376核销AFTS23/0000190 已到账 支票已兑；</t>
    </r>
    <phoneticPr fontId="1" type="noConversion"/>
  </si>
  <si>
    <r>
      <t>469.95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客户：MERCA ORIENTE SANT ANTONI S.L 发票号:FTS23/0001643 已到账 ；</t>
    </r>
    <phoneticPr fontId="1" type="noConversion"/>
  </si>
  <si>
    <t>X7620134G</t>
  </si>
  <si>
    <t>XINQIANG ZHU</t>
  </si>
  <si>
    <t>FTS23/0001510&amp;FTS23/0001506</t>
  </si>
  <si>
    <r>
      <t>549.81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客户：XINQIANG ZHU 发票号:FTS23/0001510&amp;FTS23/0001506 已到账 ；</t>
    </r>
    <phoneticPr fontId="1" type="noConversion"/>
  </si>
  <si>
    <t>印花税</t>
    <phoneticPr fontId="1" type="noConversion"/>
  </si>
  <si>
    <t>513864245</t>
  </si>
  <si>
    <t>LIU FANG UNIPESSOAL LDA 陈旭 刘芳</t>
  </si>
  <si>
    <t>513864245</t>
    <phoneticPr fontId="1" type="noConversion"/>
  </si>
  <si>
    <t>FT 23/0000187</t>
  </si>
  <si>
    <t>FT 23/0000176</t>
  </si>
  <si>
    <r>
      <t>1686.6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客户：LIU FANG UNIPESSOAL LDA 陈旭 刘芳 发票号:FT 23/0000187 已到账 支票兑换；</t>
    </r>
    <phoneticPr fontId="1" type="noConversion"/>
  </si>
  <si>
    <r>
      <t>3189.61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客户：SUCCESSAGENDA LDA 郭正 发票号:FT 23/0000176 已到账 ；</t>
    </r>
    <phoneticPr fontId="1" type="noConversion"/>
  </si>
  <si>
    <t>X4968444F</t>
  </si>
  <si>
    <t>YONGXIN XU</t>
  </si>
  <si>
    <t>FTS23/0001645&amp;FTS23/0001635</t>
  </si>
  <si>
    <t>B87573358</t>
  </si>
  <si>
    <t>SUPERMERCADO FORTUNA 2016 S.L</t>
  </si>
  <si>
    <t>B16874737</t>
  </si>
  <si>
    <t>NOU MAXI SARRIA DE TER S.L.</t>
  </si>
  <si>
    <t>X2358853L</t>
  </si>
  <si>
    <t>RACHIDA CHAABI</t>
  </si>
  <si>
    <t>FTS23/0001684&amp;FTS23/0001687&amp;FTS23/0001364&amp;FTS23/0001218</t>
  </si>
  <si>
    <t>FTS23/0001639</t>
  </si>
  <si>
    <t>FTS23/0001567&amp;FTS23/0001532</t>
    <phoneticPr fontId="1" type="noConversion"/>
  </si>
  <si>
    <t>FTS23/0001676</t>
    <phoneticPr fontId="1" type="noConversion"/>
  </si>
  <si>
    <r>
      <t>546.48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客户：YONGXIN XU 发票号:FTS23/0001645&amp;FTS23/0001635 已到账 ；</t>
    </r>
    <phoneticPr fontId="1" type="noConversion"/>
  </si>
  <si>
    <r>
      <t>496.42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客户：SUPERMERCADO FORTUNA 2016 S.L 发票号:FTS23/0001567&amp;FTS23/0001532 已到账 ；</t>
    </r>
    <phoneticPr fontId="1" type="noConversion"/>
  </si>
  <si>
    <r>
      <t>918.18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客户：NOU MAXI SARRIA DE TER S.L. 发票号:FTS23/0001676 已到账 ；</t>
    </r>
    <phoneticPr fontId="1" type="noConversion"/>
  </si>
  <si>
    <r>
      <t>325.72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客户：RACHIDA CHAABI 发票号:FTS23/0001684&amp;FTS23/0001687&amp;FTS23/0001364&amp;FTS23/0001218 已到账 ；</t>
    </r>
    <phoneticPr fontId="1" type="noConversion"/>
  </si>
  <si>
    <r>
      <t>398.69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客户：HUA TAI S.L 发票号:FTS23/0001639 已到账 CBL托收；</t>
    </r>
    <phoneticPr fontId="1" type="noConversion"/>
  </si>
  <si>
    <t>241508908</t>
  </si>
  <si>
    <t>MIAOMIAO ZHU</t>
  </si>
  <si>
    <t>FT 23/0000263</t>
  </si>
  <si>
    <t>509934269</t>
  </si>
  <si>
    <t>DEEPSILENCE UNIP.  LDA 鹏飞</t>
  </si>
  <si>
    <t>FT 23/0000267&amp;NC 23/0000085&amp;NC 23/0000084&amp;NC 22/0000091&amp;NC 22/0000079</t>
  </si>
  <si>
    <r>
      <t>834.9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客户：MIAOMIAO ZHU 发票号:FT 23/0000263 已到账 ；</t>
    </r>
    <phoneticPr fontId="1" type="noConversion"/>
  </si>
  <si>
    <r>
      <t>1660.9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客户：DEEPSILENCE UNIP.  LDA 鹏飞 发票号:FT 23/0000267&amp;NC 23/0000085&amp;NC 23/0000084&amp;NC 22/0000091&amp;NC 22/0000079 已到账 ；</t>
    </r>
    <phoneticPr fontId="1" type="noConversion"/>
  </si>
  <si>
    <t>B67264416</t>
  </si>
  <si>
    <t>MARKET RUBI 2018 S.L</t>
  </si>
  <si>
    <t>FTS23/0001682&amp;FTS23/0001694</t>
  </si>
  <si>
    <t>B57803827</t>
  </si>
  <si>
    <t>HIPER ES XINES S.L</t>
  </si>
  <si>
    <t>FTS23/0000912</t>
  </si>
  <si>
    <t>FTS23/0000780</t>
  </si>
  <si>
    <r>
      <t>605.52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客户：MARKET RUBI 2018 S.L 发票号:FTS23/0001682&amp;FTS23/0001694 已到账 ；</t>
    </r>
    <phoneticPr fontId="1" type="noConversion"/>
  </si>
  <si>
    <r>
      <t>1376.86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ES XINES S.L 发票号:FTS23/0000912 已到账 支票已兑；</t>
    </r>
    <phoneticPr fontId="1" type="noConversion"/>
  </si>
  <si>
    <r>
      <t>1054.35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客户：MEGABAZAR ARROYO S.L 发票号:FTS23/0000780 已到账 支票已兑；</t>
    </r>
    <phoneticPr fontId="1" type="noConversion"/>
  </si>
  <si>
    <t>X2274933A</t>
  </si>
  <si>
    <t>XIA SEN</t>
  </si>
  <si>
    <t>FTS23/0001685</t>
  </si>
  <si>
    <t>Y1240296N</t>
  </si>
  <si>
    <t>SISI LIU</t>
  </si>
  <si>
    <t>FTS23/0001556&amp;FTS23/0001531&amp;FTS23/0001029</t>
  </si>
  <si>
    <r>
      <t>1763.28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 SEN 发票号:FTS23/0001685 已到账 ；</t>
    </r>
    <phoneticPr fontId="1" type="noConversion"/>
  </si>
  <si>
    <r>
      <t>518.04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客户：SISI LIU 发票号:FTS23/0001556&amp;FTS23/0001531&amp;FTS23/0001029 已到账 ；</t>
    </r>
    <phoneticPr fontId="1" type="noConversion"/>
  </si>
  <si>
    <t>293827028</t>
  </si>
  <si>
    <t>LIWEI JIANG</t>
  </si>
  <si>
    <t>FT 23/0000269&amp;FT 23/0000270</t>
  </si>
  <si>
    <r>
      <t>2196.08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客户：LIWEI JIANG 发票号:FT 23/0000269&amp;FT 23/0000270 已到账 ；</t>
    </r>
    <phoneticPr fontId="1" type="noConversion"/>
  </si>
  <si>
    <t>X7795207R</t>
  </si>
  <si>
    <t>ZHU HUANHAI</t>
  </si>
  <si>
    <t>FTS23/0001494</t>
  </si>
  <si>
    <r>
      <t>598.2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客户：ZHU HUANHAI 发票号:FTS23/0001494 已到账 ；</t>
    </r>
    <phoneticPr fontId="1" type="noConversion"/>
  </si>
  <si>
    <t>电话费-youmovile</t>
  </si>
  <si>
    <t>电话费-youmovile</t>
    <phoneticPr fontId="1" type="noConversion"/>
  </si>
  <si>
    <t>缺发票</t>
    <phoneticPr fontId="1" type="noConversion"/>
  </si>
  <si>
    <t>1A/234273</t>
    <phoneticPr fontId="1" type="noConversion"/>
  </si>
  <si>
    <t>UNICO 230302 2</t>
  </si>
  <si>
    <t>X6746639A</t>
  </si>
  <si>
    <t>XIAOLIN XU</t>
  </si>
  <si>
    <t>FTS23/0001647</t>
  </si>
  <si>
    <t xml:space="preserve"> FTS23/0001442</t>
  </si>
  <si>
    <t>unico 转给 future_caixa</t>
    <phoneticPr fontId="1" type="noConversion"/>
  </si>
  <si>
    <t>FTS23 0000646</t>
  </si>
  <si>
    <t>内部转账手续费</t>
    <phoneticPr fontId="1" type="noConversion"/>
  </si>
  <si>
    <r>
      <t>185.97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客户：XIAOLIN XU 发票号:FTS23/0001647 已到账 CBL托收；</t>
    </r>
    <phoneticPr fontId="1" type="noConversion"/>
  </si>
  <si>
    <r>
      <t>918.96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客户：TE ESPERAMOS S.L. 发票号: FTS23/0001442 已到账 ；</t>
    </r>
    <phoneticPr fontId="1" type="noConversion"/>
  </si>
  <si>
    <t>X4000096M</t>
  </si>
  <si>
    <t>SENWEI WU</t>
  </si>
  <si>
    <t>FTS23/0001696&amp;FTS23/0001701&amp;FTS23/0001695</t>
  </si>
  <si>
    <r>
      <t>598.97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客户：SENWEI WU 发票号:FTS23/0001696&amp;FTS23/0001701&amp;FTS23/0001695 已到账 ；</t>
    </r>
    <phoneticPr fontId="1" type="noConversion"/>
  </si>
  <si>
    <t>UNICO-230402-1</t>
    <phoneticPr fontId="1" type="noConversion"/>
  </si>
  <si>
    <t>B86951571</t>
  </si>
  <si>
    <t>COMERCIALIZACIONES DIAMANTE S.L</t>
  </si>
  <si>
    <t xml:space="preserve"> FTS23/0001010&amp;FTS23/0001717</t>
  </si>
  <si>
    <r>
      <t>3600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客户：STOCK IN SPAIN ELECTRONICS S.L 步步高 发票号:FTS23/1513 已到账 支票已兑；</t>
    </r>
    <phoneticPr fontId="1" type="noConversion"/>
  </si>
  <si>
    <r>
      <t>1479.43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客户：COMERCIALIZACIONES DIAMANTE S.L 发票号: FTS23/0001010&amp;FTS23/0001717 已到账 ；</t>
    </r>
    <phoneticPr fontId="1" type="noConversion"/>
  </si>
  <si>
    <t>E71226369</t>
  </si>
  <si>
    <t>SHOUJU HU Y SHANYU WANG</t>
  </si>
  <si>
    <t>FTS23/0001707</t>
  </si>
  <si>
    <t>UNICO-230302-2</t>
    <phoneticPr fontId="1" type="noConversion"/>
  </si>
  <si>
    <t>SY2308030096</t>
    <phoneticPr fontId="1" type="noConversion"/>
  </si>
  <si>
    <r>
      <t>182.11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客户：SHOUJU HU Y SHANYU WANG 发票号:FTS23/0001707 已到账 ；</t>
    </r>
    <phoneticPr fontId="1" type="noConversion"/>
  </si>
  <si>
    <t>X6105141K</t>
  </si>
  <si>
    <t>LUOJUN WANG</t>
  </si>
  <si>
    <t>FTS23/0001709&amp;FTS23/0001698</t>
  </si>
  <si>
    <r>
      <t>1201.24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客户：LUOJUN WANG 发票号:FTS23/0001709&amp;FTS23/0001698 已到账 ；</t>
    </r>
    <phoneticPr fontId="1" type="noConversion"/>
  </si>
  <si>
    <t>esp</t>
    <phoneticPr fontId="1" type="noConversion"/>
  </si>
  <si>
    <t>2023/MAR/1418</t>
  </si>
  <si>
    <t>FTS23/0001725</t>
  </si>
  <si>
    <t>WE PHONE 2016 S.L 威锋电子 开给REPLIX PLAZA ESPANA S.L的外账发票</t>
  </si>
  <si>
    <t>个人往来</t>
  </si>
  <si>
    <t>个人往来</t>
    <phoneticPr fontId="1" type="noConversion"/>
  </si>
  <si>
    <t>FTS23/0635</t>
  </si>
  <si>
    <t>对方科目郭水文个人往来</t>
    <phoneticPr fontId="1" type="noConversion"/>
  </si>
  <si>
    <t>FTS23/820</t>
  </si>
  <si>
    <r>
      <t>5000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客户：WE PHONE 2016 S.L 威锋电子 发票号:FTS23/0001725 已到账 WE PHONE 2016 S.L 威锋电子 开给REPLIX PLAZA ESPANA S.L的外账发票；</t>
    </r>
    <phoneticPr fontId="1" type="noConversion"/>
  </si>
  <si>
    <r>
      <t>1400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客户：AMITOFORTUNA S.L 发票号:FTS23/820 已到账 支票已兑；</t>
    </r>
    <phoneticPr fontId="1" type="noConversion"/>
  </si>
  <si>
    <t>esp运输费</t>
    <phoneticPr fontId="1" type="noConversion"/>
  </si>
  <si>
    <t>2023/MAR/1638</t>
  </si>
  <si>
    <t>西语翻译</t>
    <phoneticPr fontId="1" type="noConversion"/>
  </si>
  <si>
    <t>FACTURA 2023/10</t>
    <phoneticPr fontId="1" type="noConversion"/>
  </si>
  <si>
    <t>FTS23/0001705</t>
  </si>
  <si>
    <r>
      <t>2816.4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客户：LITXU MEGAPARK S.L. 发票号:FTS23/0001705 已到账 ；</t>
    </r>
    <phoneticPr fontId="1" type="noConversion"/>
  </si>
  <si>
    <t>236896040</t>
  </si>
  <si>
    <t>SUQUAN XU 徐苏权</t>
  </si>
  <si>
    <t>FT 23/0000272</t>
  </si>
  <si>
    <r>
      <t>2001.47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客户：SUQUAN XU 徐苏权 发票号:FT 23/0000272 已到账 ；</t>
    </r>
    <phoneticPr fontId="1" type="noConversion"/>
  </si>
  <si>
    <t>Y0442217X</t>
  </si>
  <si>
    <t>MIAOQUN WU</t>
  </si>
  <si>
    <t>FTS23/0001710</t>
  </si>
  <si>
    <t>X3921987G</t>
  </si>
  <si>
    <t>HAINAN XU</t>
  </si>
  <si>
    <t>FTS23/0001651&amp;FTS23/0001739&amp;FTS23/0001656</t>
  </si>
  <si>
    <t>factura 593</t>
    <phoneticPr fontId="1" type="noConversion"/>
  </si>
  <si>
    <t>律师楼做账</t>
    <phoneticPr fontId="1" type="noConversion"/>
  </si>
  <si>
    <t>B66664699</t>
  </si>
  <si>
    <t>JE TAMOUR S.L</t>
  </si>
  <si>
    <t>FTS23/0001718</t>
  </si>
  <si>
    <r>
      <t>1017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客户：MIAOQUN WU 发票号:FTS23/0001710 已到账 ；</t>
    </r>
    <phoneticPr fontId="1" type="noConversion"/>
  </si>
  <si>
    <r>
      <t>646.5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客户：HAINAN XU 发票号:FTS23/0001651&amp;FTS23/0001739&amp;FTS23/0001656 已到账 CBL托收；</t>
    </r>
    <phoneticPr fontId="1" type="noConversion"/>
  </si>
  <si>
    <r>
      <t>908.91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客户：JE TAMOUR S.L 发票号:FTS23/0001718 已到账 ；</t>
    </r>
    <phoneticPr fontId="1" type="noConversion"/>
  </si>
  <si>
    <t>B66136557</t>
  </si>
  <si>
    <t>MANBAR DECORA S.L</t>
  </si>
  <si>
    <t>FTS23/0001728</t>
  </si>
  <si>
    <t>X3298732A</t>
  </si>
  <si>
    <t>JIANZHONG YING</t>
  </si>
  <si>
    <t>FTS23/0001727&amp;FTS23/0001693</t>
  </si>
  <si>
    <t>X6804808M</t>
  </si>
  <si>
    <t>CHAOQUN DU</t>
  </si>
  <si>
    <t>FTS23/0001430&amp;FTS23/0001450&amp;FTS23/0001737&amp;FTS23/0001648&amp;FTS23/0001670&amp;FTS23/0001671</t>
  </si>
  <si>
    <r>
      <t>665.7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客户：MANBAR DECORA S.L 发票号:FTS23/0001728 已到账 ；</t>
    </r>
    <phoneticPr fontId="1" type="noConversion"/>
  </si>
  <si>
    <r>
      <t>559.21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客户：JIANZHONG YING 发票号:FTS23/0001727&amp;FTS23/0001693 已到账 ；</t>
    </r>
    <phoneticPr fontId="1" type="noConversion"/>
  </si>
  <si>
    <r>
      <t>2085.47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客户：CHAOQUN DU 发票号:FTS23/0001430&amp;FTS23/0001450&amp;FTS23/0001737&amp;FTS23/0001648&amp;FTS23/0001670&amp;FTS23/0001671 已到账 ；</t>
    </r>
    <phoneticPr fontId="1" type="noConversion"/>
  </si>
  <si>
    <t>X9930104S</t>
  </si>
  <si>
    <t>CHANG ZONG LI</t>
  </si>
  <si>
    <t>FTS23/0001730</t>
  </si>
  <si>
    <t>B66770082</t>
  </si>
  <si>
    <t>QIANWAN S.L</t>
  </si>
  <si>
    <t>FTS23/0001729</t>
  </si>
  <si>
    <t>FTS23/0000646</t>
  </si>
  <si>
    <t>UNICO转future</t>
    <phoneticPr fontId="1" type="noConversion"/>
  </si>
  <si>
    <r>
      <t>194.36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客户：CHANG ZONG LI 发票号:FTS23/0001730 已到账 ；</t>
    </r>
    <phoneticPr fontId="1" type="noConversion"/>
  </si>
  <si>
    <r>
      <t>979.7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客户：QIANWAN S.L 发票号:FTS23/0001729 已到账 ；</t>
    </r>
    <phoneticPr fontId="1" type="noConversion"/>
  </si>
  <si>
    <t>FTS23/0000371</t>
  </si>
  <si>
    <t>B09944778</t>
  </si>
  <si>
    <t>STOCKAGO ECOM,S.L</t>
  </si>
  <si>
    <t>FTS23/0001513</t>
  </si>
  <si>
    <t>支票已兑,核销STOCK IN</t>
    <phoneticPr fontId="1" type="noConversion"/>
  </si>
  <si>
    <t>B57864340</t>
  </si>
  <si>
    <t>HIPER CAN VALERO S.L</t>
  </si>
  <si>
    <t>FTS23/0000947</t>
  </si>
  <si>
    <t>2023/MAR/1725</t>
  </si>
  <si>
    <t>ESP运输费</t>
    <phoneticPr fontId="1" type="noConversion"/>
  </si>
  <si>
    <t>B57667537</t>
  </si>
  <si>
    <t>HIPER HOGAR POPULAR S.L</t>
  </si>
  <si>
    <t>FTS23/0000929</t>
  </si>
  <si>
    <t>B85280055</t>
  </si>
  <si>
    <t>ESON IMPORT EXPORT S.L 百货城</t>
  </si>
  <si>
    <t>FTS23/0001113</t>
  </si>
  <si>
    <t>支票已兑，核销AFTS23/0000389|AFTS23/0000529|AFTS23/0000703|AFTS23/0000701</t>
    <phoneticPr fontId="1" type="noConversion"/>
  </si>
  <si>
    <r>
      <t>1330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客户：EL AZRAK MERJANI HAMZA 发票号:FTS23/0000371 已到账 支票已兑；</t>
    </r>
    <phoneticPr fontId="1" type="noConversion"/>
  </si>
  <si>
    <r>
      <t>4040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客户：STOCKAGO ECOM,S.L 发票号:FTS23/0001513 已到账 支票已兑,核销STOCK IN；</t>
    </r>
    <phoneticPr fontId="1" type="noConversion"/>
  </si>
  <si>
    <r>
      <t>684.17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CAN VALERO S.L 发票号:FTS23/0000947 已到账 支票已兑；</t>
    </r>
    <phoneticPr fontId="1" type="noConversion"/>
  </si>
  <si>
    <r>
      <t>844.31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HOGAR POPULAR S.L 发票号:FTS23/0000929 已到账 支票已兑；</t>
    </r>
    <phoneticPr fontId="1" type="noConversion"/>
  </si>
  <si>
    <r>
      <t>2076.53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客户：ESON IMPORT EXPORT S.L 百货城 发票号:FTS23/0001113 已到账 支票已兑，核销AFTS23/0000389|AFTS23/0000529|AFTS23/0000703|AFTS23/0000701；</t>
    </r>
    <phoneticPr fontId="1" type="noConversion"/>
  </si>
  <si>
    <t>差旅费_过路</t>
  </si>
  <si>
    <t>013.146.596/07/2023</t>
    <phoneticPr fontId="1" type="noConversion"/>
  </si>
  <si>
    <t>via verde</t>
    <phoneticPr fontId="1" type="noConversion"/>
  </si>
  <si>
    <t>202307人工社保</t>
    <phoneticPr fontId="1" type="noConversion"/>
  </si>
  <si>
    <t>516088386</t>
  </si>
  <si>
    <t>IMPORTANCIA SIMPATICA UNIPESSOAL LDA 刘荣女儿店</t>
  </si>
  <si>
    <t>FT 23/0000277</t>
  </si>
  <si>
    <r>
      <t>2314.49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客户：IMPORTANCIA SIMPATICA UNIPESSOAL LDA 刘荣女儿店 发票号:FT 23/0000277 已到账 ；</t>
    </r>
    <phoneticPr fontId="1" type="noConversion"/>
  </si>
  <si>
    <t>2023/MAR/1637</t>
  </si>
  <si>
    <t>FTS23/0001746&amp;FTS23/0001747</t>
  </si>
  <si>
    <t>X3231539Q</t>
  </si>
  <si>
    <t>QIUJUN PING</t>
  </si>
  <si>
    <t xml:space="preserve"> FTS23/0001726</t>
  </si>
  <si>
    <t xml:space="preserve"> FTS23/0001741&amp;FTS23/0001566</t>
  </si>
  <si>
    <t>B87633871</t>
  </si>
  <si>
    <t>BAZAR LIJUN ZHANG S.L</t>
  </si>
  <si>
    <t xml:space="preserve"> FTS23/0001735&amp;FTS23/0001704</t>
  </si>
  <si>
    <r>
      <t>526.14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客户：HAIPING LIU 发票号:FTS23/0001746&amp;FTS23/0001747 已到账 ；</t>
    </r>
    <phoneticPr fontId="1" type="noConversion"/>
  </si>
  <si>
    <r>
      <t>484.57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客户：QIUJUN PING 发票号: FTS23/0001726 已到账 ；</t>
    </r>
    <phoneticPr fontId="1" type="noConversion"/>
  </si>
  <si>
    <r>
      <t>210.08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客户：EL AZRAK MERJANI HAMZA 发票号: FTS23/0001741&amp;FTS23/0001566 已到账 ；</t>
    </r>
    <phoneticPr fontId="1" type="noConversion"/>
  </si>
  <si>
    <r>
      <t>1106.67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LIJUN ZHANG S.L 发票号: FTS23/0001735&amp;FTS23/0001704 已到账 ；</t>
    </r>
    <phoneticPr fontId="1" type="noConversion"/>
  </si>
  <si>
    <t xml:space="preserve"> 2023/MAR/1637</t>
  </si>
  <si>
    <t>235194905</t>
  </si>
  <si>
    <t>CHEN JIANXIN 陈建新</t>
  </si>
  <si>
    <t>FT 23/0000289&amp;NC 23/0000075</t>
  </si>
  <si>
    <r>
      <t>1947.85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 JIANXIN 陈建新 发票号:FT 23/0000289&amp;NC 23/0000075 已到账 ；</t>
    </r>
    <phoneticPr fontId="1" type="noConversion"/>
  </si>
  <si>
    <t>ES012</t>
  </si>
  <si>
    <t>AYT清关费</t>
    <phoneticPr fontId="1" type="noConversion"/>
  </si>
  <si>
    <t>B13879051</t>
  </si>
  <si>
    <t>BAZAR LEGANES CENTRAL S.L</t>
  </si>
  <si>
    <t>FTS23/0001678</t>
  </si>
  <si>
    <t>FTS23/0001732</t>
  </si>
  <si>
    <t>X8050773Z</t>
  </si>
  <si>
    <t>XIAOYI WANG</t>
  </si>
  <si>
    <t>FTS23/0001760</t>
  </si>
  <si>
    <t>Y3443891T</t>
  </si>
  <si>
    <t>TINGTING PAN</t>
  </si>
  <si>
    <t>FTS23/0001723</t>
  </si>
  <si>
    <r>
      <t>4101.31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LEGANES CENTRAL S.L 发票号:FTS23/0001678 已到账 ；</t>
    </r>
    <phoneticPr fontId="1" type="noConversion"/>
  </si>
  <si>
    <r>
      <t>218.54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LEGANES CENTRAL S.L 发票号:FTS23/0001732 已到账 ；</t>
    </r>
    <phoneticPr fontId="1" type="noConversion"/>
  </si>
  <si>
    <r>
      <t>596.76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客户：XIAOYI WANG 发票号:FTS23/0001760 已到账 ；</t>
    </r>
    <phoneticPr fontId="1" type="noConversion"/>
  </si>
  <si>
    <r>
      <t>349.79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客户：TINGTING PAN 发票号:FTS23/0001723 已到账 ；</t>
    </r>
    <phoneticPr fontId="1" type="noConversion"/>
  </si>
  <si>
    <t>X2004609K</t>
  </si>
  <si>
    <t>CHUNQING ZHANG</t>
  </si>
  <si>
    <t>FTS23/0001758&amp;FTS23/0001766&amp;FTS23/0001750&amp;FTS23/0001715&amp;FTS23/0000523</t>
  </si>
  <si>
    <r>
      <t>797.73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客户：CHUNQING ZHANG 发票号:FTS23/0001758&amp;FTS23/0001766&amp;FTS23/0001750&amp;FTS23/0001715&amp;FTS23/0000523 已到账 ；</t>
    </r>
    <phoneticPr fontId="1" type="noConversion"/>
  </si>
  <si>
    <r>
      <t>3000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客户：MULTICENTRO ORIENTAL S.L 发票号:FTS22/0000343 已到账 ；</t>
    </r>
    <phoneticPr fontId="1" type="noConversion"/>
  </si>
  <si>
    <t>516941119</t>
  </si>
  <si>
    <t>ALCANCE A MANEIRA UNIPESSOAL LDA 徐正益新店</t>
  </si>
  <si>
    <t xml:space="preserve"> FT 23/0000280</t>
  </si>
  <si>
    <r>
      <t>1263.83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客户：ALCANCE A MANEIRA UNIPESSOAL LDA 徐正益新店 发票号: FT 23/0000280 已到账 ；</t>
    </r>
    <phoneticPr fontId="1" type="noConversion"/>
  </si>
  <si>
    <t>FTS23/0001062</t>
  </si>
  <si>
    <t>转给future</t>
    <phoneticPr fontId="1" type="noConversion"/>
  </si>
  <si>
    <t>葡萄牙BPI</t>
    <phoneticPr fontId="1" type="noConversion"/>
  </si>
  <si>
    <t>unico</t>
    <phoneticPr fontId="1" type="noConversion"/>
  </si>
  <si>
    <t>516552015</t>
  </si>
  <si>
    <t>FANTASY&amp;IMAGINATION LDA 毛晓东</t>
  </si>
  <si>
    <t>FT 22/0000198</t>
  </si>
  <si>
    <t>515413950</t>
  </si>
  <si>
    <t>SURPRESAS E AVENTURAS LDA 小峰</t>
  </si>
  <si>
    <t>FT 23/0000043|FT 23/0000082NC 23/0000023|NC 23/0000024|NC 23/0000036|NC 23/0000042|NC 23/0000051</t>
  </si>
  <si>
    <t>515933210</t>
  </si>
  <si>
    <t>LILAS TIMIDO, LDA</t>
  </si>
  <si>
    <t>FT 23/0000123|FT 23/0000024NC 22/0000089|NC 23/0000022</t>
  </si>
  <si>
    <r>
      <t>5000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客户：FANTASY&amp;IMAGINATION LDA 毛晓东 发票号:FT 22/0000198 已到账 支票已兑；</t>
    </r>
    <phoneticPr fontId="1" type="noConversion"/>
  </si>
  <si>
    <r>
      <t>2771.92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客户：SURPRESAS E AVENTURAS LDA 小峰 发票号:FT 23/0000043|FT 23/0000082NC 23/0000023|NC 23/0000024|NC 23/0000036|NC 23/0000042|NC 23/0000051 已到账 支票已兑；</t>
    </r>
    <phoneticPr fontId="1" type="noConversion"/>
  </si>
  <si>
    <r>
      <t>1561.2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客户：LILAS TIMIDO, LDA 发票号:FT 23/0000123|FT 23/0000024NC 22/0000089|NC 23/0000022 已到账 支票已兑；</t>
    </r>
    <phoneticPr fontId="1" type="noConversion"/>
  </si>
  <si>
    <t>FTS23/0001291</t>
  </si>
  <si>
    <t>B88341185</t>
  </si>
  <si>
    <t>SUPERMERCADOS SUPERFOODS S.L.</t>
  </si>
  <si>
    <t>FTS23/0001015</t>
  </si>
  <si>
    <r>
      <t>1160.69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客户：SUPERMERCADOS SUPERFOODS S.L. 发票号:FTS23/0001015 已到账 支票已兑；</t>
    </r>
    <phoneticPr fontId="1" type="noConversion"/>
  </si>
  <si>
    <r>
      <t>513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客户：MARK ZUX S.L. 发票号:FTS23/0001291 已到账 支票已兑；</t>
    </r>
    <phoneticPr fontId="1" type="noConversion"/>
  </si>
  <si>
    <t>262186888</t>
  </si>
  <si>
    <t>XU ZHENG 郑旭</t>
  </si>
  <si>
    <t>FT 23/0000282</t>
  </si>
  <si>
    <r>
      <t>1666.22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客户：XU ZHENG 郑旭 发票号:FT 23/0000282 已到账 ；</t>
    </r>
    <phoneticPr fontId="1" type="noConversion"/>
  </si>
  <si>
    <t>508816033</t>
  </si>
  <si>
    <t>FUTURO ENCANTADO LDA 刘荣</t>
  </si>
  <si>
    <t xml:space="preserve"> FT 23/0000233&amp;NC 23/0000160&amp;NC 23/0000169&amp;NC 23/0000166</t>
  </si>
  <si>
    <t>FT 23/0000293</t>
  </si>
  <si>
    <r>
      <t>4693.2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客户：FUTURO ENCANTADO LDA 刘荣 发票号: FT 23/0000233&amp;NC 23/0000160&amp;NC 23/0000169&amp;NC 23/0000166 已到账 ；</t>
    </r>
    <phoneticPr fontId="1" type="noConversion"/>
  </si>
  <si>
    <r>
      <t>5199.03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客户：FUTURO ENCANTADO LDA 刘荣 发票号:FT 23/0000293 已到账 ；</t>
    </r>
    <phoneticPr fontId="1" type="noConversion"/>
  </si>
  <si>
    <t>B09989088</t>
  </si>
  <si>
    <t>HU CHEN HOME 2022 S.L</t>
  </si>
  <si>
    <t>FTS23/0001795&amp;FTS23/0001802&amp;FTS23/0001808&amp;FTS23/0001810&amp;FTS23/0001811</t>
  </si>
  <si>
    <t xml:space="preserve"> FTS23/0001790</t>
  </si>
  <si>
    <t>B99327421</t>
  </si>
  <si>
    <t>QINGSONG JIANKANG SL.</t>
  </si>
  <si>
    <t>FTS23/0001724</t>
  </si>
  <si>
    <t>575.46€ 客户：HU CHEN HOME 2022 S.L 发票号:FTS23/0001795&amp;FTS23/0001802&amp;FTS23/0001808&amp;FTS23/0001810&amp;FTS23/0001811 已到账 ；</t>
    <phoneticPr fontId="1" type="noConversion"/>
  </si>
  <si>
    <t>897.55€ 客户：NHAFKRA 050 S.L 发票号: FTS23/0001790 已到账 ；</t>
    <phoneticPr fontId="1" type="noConversion"/>
  </si>
  <si>
    <r>
      <t>496.63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客户：QINGSONG JIANKANG SL. 发票号:FTS23/0001724 已到账 CBL托收；</t>
    </r>
    <phoneticPr fontId="1" type="noConversion"/>
  </si>
  <si>
    <t>X8046667W</t>
  </si>
  <si>
    <t>XINMIAO ZHENG</t>
  </si>
  <si>
    <t>FTS23/0001776</t>
  </si>
  <si>
    <t>B27810332</t>
  </si>
  <si>
    <t>MARKET FAMILY XU S.L</t>
  </si>
  <si>
    <t>FTS23/0001782</t>
  </si>
  <si>
    <t>unico - future</t>
    <phoneticPr fontId="1" type="noConversion"/>
  </si>
  <si>
    <t>Y3764096E</t>
  </si>
  <si>
    <t>XIANGBIN JIANG</t>
  </si>
  <si>
    <t>FTS23/0001773</t>
  </si>
  <si>
    <r>
      <t>724.91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客户：XINMIAO ZHENG 发票号:FTS23/0001776 已到账 ；</t>
    </r>
    <phoneticPr fontId="1" type="noConversion"/>
  </si>
  <si>
    <r>
      <t>854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客户：MARKET FAMILY XU S.L 发票号:FTS23/0001782 已到账 ；</t>
    </r>
    <phoneticPr fontId="1" type="noConversion"/>
  </si>
  <si>
    <r>
      <t>405.54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客户：XIANGBIN JIANG 发票号:FTS23/0001773 已到账 ；</t>
    </r>
    <phoneticPr fontId="1" type="noConversion"/>
  </si>
  <si>
    <t>514042109</t>
  </si>
  <si>
    <t>FACANHA PRINCIPAL LDA 郑海南</t>
  </si>
  <si>
    <t>FT 23/0000298&amp;NC 23/0000141&amp;NC 23/0000056</t>
  </si>
  <si>
    <t>FT 23/0000301&amp;NC 23/0000155&amp;NC 23/0000156</t>
  </si>
  <si>
    <r>
      <t>2036.61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客户：FACANHA PRINCIPAL LDA 郑海南 发票号:FT 23/0000298&amp;NC 23/0000141&amp;NC 23/0000056 已到账 ；</t>
    </r>
    <phoneticPr fontId="1" type="noConversion"/>
  </si>
  <si>
    <r>
      <t>1226.01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客户：LIU FANG UNIPESSOAL LDA 陈旭 刘芳 发票号:FT 23/0000301&amp;NC 23/0000155&amp;NC 23/0000156 已到账 ；</t>
    </r>
    <phoneticPr fontId="1" type="noConversion"/>
  </si>
  <si>
    <t>Y1074284Z</t>
  </si>
  <si>
    <t>ZONGDI ZHENG</t>
  </si>
  <si>
    <t>FTS23/0001742</t>
  </si>
  <si>
    <r>
      <t>3995.2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客户：ZONGDI ZHENG 发票号:FTS23/0001742 已到账 ；</t>
    </r>
    <phoneticPr fontId="1" type="noConversion"/>
  </si>
  <si>
    <t>B36521771</t>
  </si>
  <si>
    <t>BAZAR DONG FANG S.L</t>
  </si>
  <si>
    <t>FTS23/0001743</t>
  </si>
  <si>
    <r>
      <t>806.7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DONG FANG S.L 发票号:FTS23/0001743 已到账 ；</t>
    </r>
    <phoneticPr fontId="1" type="noConversion"/>
  </si>
  <si>
    <t>B71475305</t>
  </si>
  <si>
    <t>GRUPO KANGXI S.L</t>
  </si>
  <si>
    <t>FTS23/0001814</t>
  </si>
  <si>
    <r>
      <t>3773.57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客户：GRUPO KANGXI S.L 发票号:FTS23/0001814 已到账 ；</t>
    </r>
    <phoneticPr fontId="1" type="noConversion"/>
  </si>
  <si>
    <t>X5118595Z</t>
  </si>
  <si>
    <t xml:space="preserve">LIN XIUMEI </t>
  </si>
  <si>
    <t>FTS23/0001779</t>
  </si>
  <si>
    <t>FTS23/0001809&amp;FTS23/0001830</t>
  </si>
  <si>
    <r>
      <t>241.56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客户：LIN XIUMEI  发票号:FTS23/0001779 已到账 CBL托收；</t>
    </r>
    <phoneticPr fontId="1" type="noConversion"/>
  </si>
  <si>
    <r>
      <t>338.72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客户：TEMING CHENG 发票号:FTS23/0001809&amp;FTS23/0001830 已到账 ；</t>
    </r>
    <phoneticPr fontId="1" type="noConversion"/>
  </si>
  <si>
    <t>FTS23/0001820&amp;FTS23/0001828</t>
  </si>
  <si>
    <r>
      <t>306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客户：TRESOR TROVE S.L. 发票号:FTS23/0001820&amp;FTS23/0001828 已到账 ；</t>
    </r>
    <phoneticPr fontId="1" type="noConversion"/>
  </si>
  <si>
    <t>B47799630</t>
  </si>
  <si>
    <t>GRAN BAZAR FAMILIA S.L</t>
  </si>
  <si>
    <t>FTS23/0001799</t>
  </si>
  <si>
    <t>FTS23/0001806</t>
  </si>
  <si>
    <t>B16556920</t>
  </si>
  <si>
    <t>EURO COMPLEMENTOS ASIA S.L</t>
  </si>
  <si>
    <t>FTS23/0000477</t>
  </si>
  <si>
    <t>FTS23/0000476</t>
  </si>
  <si>
    <t>FTS23/0001597</t>
  </si>
  <si>
    <t>B05288758</t>
  </si>
  <si>
    <t>ALIMENTACION Y BEBIDAS LIMIN S.L</t>
  </si>
  <si>
    <t>FTS23/0001807&amp;FTS23/0001764&amp;FTS23/0001763&amp;FTS23/0001836</t>
  </si>
  <si>
    <r>
      <t>1628.45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BAZAR FAMILIA S.L 发票号:FTS23/0001799 已到账 ；</t>
    </r>
    <phoneticPr fontId="1" type="noConversion"/>
  </si>
  <si>
    <r>
      <t>263.91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BAZAR FAMILIA S.L 发票号:FTS23/0001806 已到账 ；</t>
    </r>
    <phoneticPr fontId="1" type="noConversion"/>
  </si>
  <si>
    <r>
      <t>1350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客户：EURO COMPLEMENTOS ASIA S.L 发票号:FTS23/0000477 已到账 ；</t>
    </r>
    <phoneticPr fontId="1" type="noConversion"/>
  </si>
  <si>
    <r>
      <t>635.4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客户：EURO COMPLEMENTOS ASIA S.L 发票号:FTS23/0000476 已到账 ；</t>
    </r>
    <phoneticPr fontId="1" type="noConversion"/>
  </si>
  <si>
    <r>
      <t>5058.6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客户：EURO COMPLEMENTOS ASIA S.L 发票号:FTS23/0001597 已到账 ；</t>
    </r>
    <phoneticPr fontId="1" type="noConversion"/>
  </si>
  <si>
    <r>
      <t>497.58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客户：ALIMENTACION Y BEBIDAS LIMIN S.L 发票号:FTS23/0001807&amp;FTS23/0001764&amp;FTS23/0001763&amp;FTS23/0001836 已到账 ；</t>
    </r>
    <phoneticPr fontId="1" type="noConversion"/>
  </si>
  <si>
    <t>B42890947</t>
  </si>
  <si>
    <t>BAZAR CARRALERO S.L</t>
  </si>
  <si>
    <t>FTS23/0001798&amp;FTS23/0001789</t>
  </si>
  <si>
    <r>
      <t>997.5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CARRALERO S.L 发票号:FTS23/0001798&amp;FTS23/0001789 已到账 ；</t>
    </r>
    <phoneticPr fontId="1" type="noConversion"/>
  </si>
  <si>
    <t>X2538960J</t>
  </si>
  <si>
    <t>ZHENQIAO XU</t>
  </si>
  <si>
    <t>FTS23/0001775&amp;FTS23/0001759&amp;FTS23/0001768&amp;FTS23/0001769&amp;FTS23/0001749</t>
  </si>
  <si>
    <r>
      <t>584.75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客户：ZHENQIAO XU 发票号:FTS23/0001775&amp;FTS23/0001759&amp;FTS23/0001768&amp;FTS23/0001769&amp;FTS23/0001749 已到账 CBL托收；</t>
    </r>
    <phoneticPr fontId="1" type="noConversion"/>
  </si>
  <si>
    <t>B71177307</t>
  </si>
  <si>
    <t>YUN LAI FU S.L.</t>
  </si>
  <si>
    <t>FTS23/0001783</t>
  </si>
  <si>
    <r>
      <t>1583.95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客户：YUN LAI FU S.L. 发票号:FTS23/0001783 已到账 ；</t>
    </r>
    <phoneticPr fontId="1" type="noConversion"/>
  </si>
  <si>
    <t>FTS23/0001780&amp;FTS23/0001796</t>
  </si>
  <si>
    <t>X5617827P</t>
  </si>
  <si>
    <t>DAYONG CHEN</t>
  </si>
  <si>
    <t xml:space="preserve"> FTS23/0001831&amp;FTS23/0001825</t>
  </si>
  <si>
    <t>X5066670T</t>
  </si>
  <si>
    <t>JUNJUN JIN</t>
  </si>
  <si>
    <t>FTS23/0001839</t>
  </si>
  <si>
    <r>
      <t>1176.7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客户：MEGABAZAR ARROYO S.L 发票号:FTS23/0001780&amp;FTS23/0001796 已到账 ；</t>
    </r>
    <phoneticPr fontId="1" type="noConversion"/>
  </si>
  <si>
    <r>
      <t>788.88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客户：DAYONG CHEN 发票号: FTS23/0001831&amp;FTS23/0001825 已到账 ；</t>
    </r>
    <phoneticPr fontId="1" type="noConversion"/>
  </si>
  <si>
    <r>
      <t>449.37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客户：JUNJUN JIN 发票号:FTS23/0001839 已到账 ；</t>
    </r>
    <phoneticPr fontId="1" type="noConversion"/>
  </si>
  <si>
    <t>B72502610</t>
  </si>
  <si>
    <t>DULCE HOGAR GALICIA S.L</t>
  </si>
  <si>
    <t>FTS23/0001111</t>
  </si>
  <si>
    <t>B88495361</t>
  </si>
  <si>
    <t>BAZAR MIRACAMPO S.L</t>
  </si>
  <si>
    <t>FTS23/0001098</t>
  </si>
  <si>
    <t>FTS23/0001842</t>
  </si>
  <si>
    <r>
      <t>1631.45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客户：DULCE HOGAR GALICIA S.L 发票号:FTS23/0001111 已到账 支票已兑；</t>
    </r>
    <phoneticPr fontId="1" type="noConversion"/>
  </si>
  <si>
    <r>
      <t>700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MIRACAMPO S.L 发票号:FTS23/0001098 已到账 支票已兑；</t>
    </r>
    <phoneticPr fontId="1" type="noConversion"/>
  </si>
  <si>
    <r>
      <t>448.1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客户：LINGWEI ZHANG 发票号:FTS23/0001842 已到账 ；</t>
    </r>
    <phoneticPr fontId="1" type="noConversion"/>
  </si>
  <si>
    <t>509167179</t>
  </si>
  <si>
    <t>CASA SHAO LDA 徐新春</t>
  </si>
  <si>
    <t>FT 23/0000208&amp;NC 23/0000118&amp;NC 23/0000125&amp;NC 23/0000124&amp;NC 23/0000140</t>
  </si>
  <si>
    <r>
      <t>1532.48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客户：CASA SHAO LDA 徐新春 发票号:FT 23/0000208&amp;NC 23/0000118&amp;NC 23/0000125&amp;NC 23/0000124&amp;NC 23/0000140 已到账 ；</t>
    </r>
    <phoneticPr fontId="1" type="noConversion"/>
  </si>
  <si>
    <t>234142707</t>
  </si>
  <si>
    <t>WEI WEI ZHOU 周薇薇</t>
  </si>
  <si>
    <t>FT 23/0000297</t>
  </si>
  <si>
    <r>
      <t>1808.16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客户：WEI WEI ZHOU 周薇薇 发票号:FT 23/0000297 已到账 ；</t>
    </r>
    <phoneticPr fontId="1" type="noConversion"/>
  </si>
  <si>
    <t>FTS23/0001832</t>
  </si>
  <si>
    <r>
      <t>746.13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客户：ASIAN GARDEN SECRET S.L 发票号:FTS23/0001832 已到账 ；</t>
    </r>
    <phoneticPr fontId="1" type="noConversion"/>
  </si>
  <si>
    <t>B93048569</t>
  </si>
  <si>
    <t>HONG DA CHINA S.L  马拉加宏达</t>
  </si>
  <si>
    <t>FTS23/0001867</t>
  </si>
  <si>
    <r>
      <t>3982.03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客户：HONG DA CHINA S.L  马拉加宏达 发票号:FTS23/0001867 已到账 支票已兑；</t>
    </r>
    <phoneticPr fontId="1" type="noConversion"/>
  </si>
  <si>
    <t>B09964057</t>
  </si>
  <si>
    <t>BAZAR ESPERANZA 2022 S.L</t>
  </si>
  <si>
    <t>FTS23/0001606</t>
  </si>
  <si>
    <r>
      <t>797.22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ESPERANZA 2022 S.L 发票号:FTS23/0001606 已到账 ；</t>
    </r>
    <phoneticPr fontId="1" type="noConversion"/>
  </si>
  <si>
    <t>X2294522L</t>
  </si>
  <si>
    <t>HUIQIONG PAN</t>
  </si>
  <si>
    <t>FTS23/0001876</t>
  </si>
  <si>
    <r>
      <t>469.24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客户：HUIQIONG PAN 发票号:FTS23/0001876 已到账 ；</t>
    </r>
    <phoneticPr fontId="1" type="noConversion"/>
  </si>
  <si>
    <t>B27353671</t>
  </si>
  <si>
    <t>YANG WENHUA S.L</t>
  </si>
  <si>
    <t>FTS23/0001865</t>
  </si>
  <si>
    <t>513744126</t>
  </si>
  <si>
    <t>FANTASYPUZZLE IMP E EXO UNIPESSOAL LDA 张炳勇</t>
  </si>
  <si>
    <t>FT 23/0000134&amp;FT 23/0000177&amp;NC 23/0000132&amp;NC 23/0000133&amp;NC 23/0000187&amp;NC 23/0000188&amp;NC 23/0000189</t>
  </si>
  <si>
    <t>254998593</t>
  </si>
  <si>
    <t>QIMENG HUANG 黄其猛</t>
  </si>
  <si>
    <t>FT 23/0000312&amp;NC 23/0000185</t>
  </si>
  <si>
    <r>
      <t>1741.71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客户：FANTASYPUZZLE IMP E EXO UNIPESSOAL LDA 张炳勇 发票号:FT 23/0000134&amp;FT 23/0000177&amp;NC 23/0000132&amp;NC 23/0000133&amp;NC 23/0000187&amp;NC 23/0000188&amp;NC 23/0000189 已到账 ；</t>
    </r>
    <phoneticPr fontId="1" type="noConversion"/>
  </si>
  <si>
    <r>
      <t>1008.54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客户：QIMENG HUANG 黄其猛 发票号:FT 23/0000312&amp;NC 23/0000185 已到账 ；</t>
    </r>
    <phoneticPr fontId="1" type="noConversion"/>
  </si>
  <si>
    <t>B66353400</t>
  </si>
  <si>
    <t>JANS COCO S.L</t>
  </si>
  <si>
    <t>FTS22/0000713&amp;FTS23/0000105</t>
  </si>
  <si>
    <t>B94037496</t>
  </si>
  <si>
    <t>BAZAR SANBLAS S.L</t>
  </si>
  <si>
    <t>FTS23/0001885</t>
  </si>
  <si>
    <r>
      <t>244.96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客户：YANG WENHUA S.L 发票号:FTS23/0001865 已到账 ；</t>
    </r>
    <phoneticPr fontId="1" type="noConversion"/>
  </si>
  <si>
    <r>
      <t>1070.48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客户：JANS COCO S.L 发票号:FTS22/0000713&amp;FTS23/0000105 已到账 ；</t>
    </r>
    <phoneticPr fontId="1" type="noConversion"/>
  </si>
  <si>
    <r>
      <t>800.79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SANBLAS S.L 发票号:FTS23/0001885 已到账 ；</t>
    </r>
    <phoneticPr fontId="1" type="noConversion"/>
  </si>
  <si>
    <t>B16613473</t>
  </si>
  <si>
    <t>PROXIM YES S.L</t>
  </si>
  <si>
    <t>FTS23/0001584&amp;FTS23/0001590&amp;FTS23/0001619</t>
  </si>
  <si>
    <r>
      <t>923.93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客户：PROXIM YES S.L 发票号:FTS23/0001584&amp;FTS23/0001590&amp;FTS23/0001619 已到账 ；</t>
    </r>
    <phoneticPr fontId="1" type="noConversion"/>
  </si>
  <si>
    <t>B88156856</t>
  </si>
  <si>
    <t>GRAN MEDINA S.L</t>
  </si>
  <si>
    <t>FTS23/0001902</t>
  </si>
  <si>
    <r>
      <t>369.74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MEDINA S.L 发票号:FTS23/0001902 已到账 ；</t>
    </r>
    <phoneticPr fontId="1" type="noConversion"/>
  </si>
  <si>
    <t>FTS23/0001619</t>
  </si>
  <si>
    <r>
      <t>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客户：PROXIM YES S.L 发票号:FTS23/0001619 已到账 ；</t>
    </r>
    <phoneticPr fontId="1" type="noConversion"/>
  </si>
  <si>
    <t>X4426623C</t>
  </si>
  <si>
    <t>XUANKAI SHAN</t>
  </si>
  <si>
    <t>FTS23/0001819</t>
  </si>
  <si>
    <t>Y2743193C</t>
  </si>
  <si>
    <t>XINRU LI</t>
  </si>
  <si>
    <t>FTS23/0001896</t>
  </si>
  <si>
    <r>
      <t>598.85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客户：XUANKAI SHAN 发票号:FTS23/0001819 已到账 ；</t>
    </r>
    <phoneticPr fontId="1" type="noConversion"/>
  </si>
  <si>
    <r>
      <t>444.37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客户：XINRU LI 发票号:FTS23/0001896 已到账 ；</t>
    </r>
    <phoneticPr fontId="1" type="noConversion"/>
  </si>
  <si>
    <t>FT 23/0000309</t>
    <phoneticPr fontId="1" type="noConversion"/>
  </si>
  <si>
    <t>FT 23/0000320</t>
  </si>
  <si>
    <t>508921180</t>
  </si>
  <si>
    <t>OK GUO - COMERCIO A RETALHO DE PRODUTOS PARA O LAR, UNIPESSOAL, LDA 郭汉荣</t>
  </si>
  <si>
    <t>FT 23/0000306</t>
  </si>
  <si>
    <r>
      <t>1538.27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客户：FABULAS &amp; DEUSES UNIPESSOAL LDA 叶利双 发票号:FT 23/0000309 已到账 ；</t>
    </r>
    <phoneticPr fontId="1" type="noConversion"/>
  </si>
  <si>
    <r>
      <t>1062.02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客户：AURORA CELESTIAL UNIPESSOAL LDA 徐正益 发票号:FT 23/0000320 已到账 ；</t>
    </r>
    <phoneticPr fontId="1" type="noConversion"/>
  </si>
  <si>
    <r>
      <t>2668.55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客户：OK GUO - COMERCIO A RETALHO DE PRODUTOS PARA O LAR, UNIPESSOAL, LDA 郭汉荣 发票号:FT 23/0000306 已到账 ；</t>
    </r>
    <phoneticPr fontId="1" type="noConversion"/>
  </si>
  <si>
    <t>FTS23/0001861</t>
  </si>
  <si>
    <t>B57691495</t>
  </si>
  <si>
    <t>XINXIN SHANGCHANG S.L</t>
  </si>
  <si>
    <t>FTS23/0001699</t>
  </si>
  <si>
    <t>B88153457</t>
  </si>
  <si>
    <t>MARK DESCUENTO S.L</t>
  </si>
  <si>
    <t>FTS23/0001874</t>
  </si>
  <si>
    <r>
      <t>261.2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客户：YUDING HU 发票号:FTS23/0001861 已到账 CBL托收；</t>
    </r>
    <phoneticPr fontId="1" type="noConversion"/>
  </si>
  <si>
    <r>
      <t>657.2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客户：XINXIN SHANGCHANG S.L 发票号:FTS23/0001699 已到账 ；</t>
    </r>
    <phoneticPr fontId="1" type="noConversion"/>
  </si>
  <si>
    <r>
      <t>2036.95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客户：MARK DESCUENTO S.L 发票号:FTS23/0001874 已到账 ；</t>
    </r>
    <phoneticPr fontId="1" type="noConversion"/>
  </si>
  <si>
    <t>FTS23/0001907</t>
  </si>
  <si>
    <r>
      <t>314.07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客户：HONGJIE LAN 发票号:FTS23/0001907 已到账 ；</t>
    </r>
    <phoneticPr fontId="1" type="noConversion"/>
  </si>
  <si>
    <t>FTS23/0001533</t>
  </si>
  <si>
    <t>Y0815285H</t>
  </si>
  <si>
    <t>SONGWEI YANG</t>
  </si>
  <si>
    <t>FTS23/0001910</t>
  </si>
  <si>
    <t>B01846070</t>
  </si>
  <si>
    <t>TENG FEI 1688 S.L</t>
  </si>
  <si>
    <t>FTS23/0001887</t>
  </si>
  <si>
    <r>
      <t>1337.58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客户：RED COOL S.L 发票号:FTS23/0001533 已到账 支票已兑；</t>
    </r>
    <phoneticPr fontId="1" type="noConversion"/>
  </si>
  <si>
    <r>
      <t>260.1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客户：SONGWEI YANG 发票号:FTS23/0001910 已到账 ；</t>
    </r>
    <phoneticPr fontId="1" type="noConversion"/>
  </si>
  <si>
    <r>
      <t>313.1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客户：TENG FEI 1688 S.L 发票号:FTS23/0001887 已到账 ；</t>
    </r>
    <phoneticPr fontId="1" type="noConversion"/>
  </si>
  <si>
    <t>FT 23/0000321</t>
  </si>
  <si>
    <t>254906338</t>
  </si>
  <si>
    <t>CHONGYI CHEN 陈崇毅</t>
  </si>
  <si>
    <t>FT 23/0000196</t>
  </si>
  <si>
    <t>515569860</t>
  </si>
  <si>
    <t>HANHAN LDA 季恩云</t>
  </si>
  <si>
    <t>FT 23/0000081&amp;NC 23/0000059</t>
  </si>
  <si>
    <t>513421246</t>
  </si>
  <si>
    <t>513421246</t>
    <phoneticPr fontId="1" type="noConversion"/>
  </si>
  <si>
    <t>FT 23/0000191</t>
  </si>
  <si>
    <t>256290300</t>
  </si>
  <si>
    <t>HUANG GAIPAO</t>
  </si>
  <si>
    <t>FT 23/0000323</t>
  </si>
  <si>
    <r>
      <t>1320.22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客户：WEIYUE LIU 发票号:FT 23/0000321 已到账 ；</t>
    </r>
    <phoneticPr fontId="1" type="noConversion"/>
  </si>
  <si>
    <r>
      <t>1001.59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客户：CHONGYI CHEN 陈崇毅 发票号:FT 23/0000196 已到账 支票已兑；</t>
    </r>
    <phoneticPr fontId="1" type="noConversion"/>
  </si>
  <si>
    <r>
      <t>3610.69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客户：HANHAN LDA 季恩云 发票号:FT 23/0000081&amp;NC 23/0000059 已到账 支票已兑；</t>
    </r>
    <phoneticPr fontId="1" type="noConversion"/>
  </si>
  <si>
    <r>
      <t>1357.16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客户：INCRIVEL SORRISO IUNIP LDA 吴闯 发票号:FT 23/0000191 已到账 支票已兑；</t>
    </r>
    <phoneticPr fontId="1" type="noConversion"/>
  </si>
  <si>
    <r>
      <t>1073.58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客户：HUANG GAIPAO 发票号:FT 23/0000323 已到账 ；</t>
    </r>
    <phoneticPr fontId="1" type="noConversion"/>
  </si>
  <si>
    <t>B06939961</t>
  </si>
  <si>
    <t>YUHENG AVILA S.L</t>
  </si>
  <si>
    <t>FTS23/0001888&amp;FTS23/0001882</t>
  </si>
  <si>
    <r>
      <t>590.7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客户：YUHENG AVILA S.L 发票号:FTS23/0001888&amp;FTS23/0001882 已到账 ；</t>
    </r>
    <phoneticPr fontId="1" type="noConversion"/>
  </si>
  <si>
    <t>FTS23/0001838</t>
  </si>
  <si>
    <r>
      <t>1183.72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BAZAR HAO LI S.L. 发票号:FTS23/0001838 已到账 ；</t>
    </r>
    <phoneticPr fontId="1" type="noConversion"/>
  </si>
  <si>
    <t>246344920</t>
  </si>
  <si>
    <t>SUN SUIKANG 孙碎康</t>
  </si>
  <si>
    <t>FT 23/0000328&amp;NC 23/0000109&amp;NC 23/0000072</t>
    <phoneticPr fontId="1" type="noConversion"/>
  </si>
  <si>
    <r>
      <t>363.92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客户：SUN SUIKANG 孙碎康 发票号:FT 23/0000328&amp;NC 23/0000109&amp;NC 23/0000072 已到账 ；</t>
    </r>
    <phoneticPr fontId="1" type="noConversion"/>
  </si>
  <si>
    <t>FTS23/0001886</t>
  </si>
  <si>
    <t>FTS23/0001792</t>
  </si>
  <si>
    <t>B85794667</t>
  </si>
  <si>
    <t>XINMEIJIA S.L.</t>
  </si>
  <si>
    <t>FTS23/0001935&amp;FTS23/0001169</t>
  </si>
  <si>
    <r>
      <t>314.72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客户：EURO BAZAR JIN S.L 发票号:FTS23/0001886 已到账 CBL托收；</t>
    </r>
    <phoneticPr fontId="1" type="noConversion"/>
  </si>
  <si>
    <r>
      <t>1066.3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客户：PROPICIO 168 S.L 发票号:FTS23/0001792 已到账 ；</t>
    </r>
    <phoneticPr fontId="1" type="noConversion"/>
  </si>
  <si>
    <r>
      <t>1835.6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客户：XINMEIJIA S.L. 发票号:FTS23/0001935&amp;FTS23/0001169 已到账 ；</t>
    </r>
    <phoneticPr fontId="1" type="noConversion"/>
  </si>
  <si>
    <t>B05390505</t>
  </si>
  <si>
    <t>CASH HOGAR CANARIAS S.L</t>
  </si>
  <si>
    <t>FTS23/0001936</t>
  </si>
  <si>
    <t>B99476228</t>
  </si>
  <si>
    <t>MODERN TIMES STORE S.L</t>
  </si>
  <si>
    <t>FTS23/0001904&amp;FTS23/0001926&amp;FTS23/0001934</t>
  </si>
  <si>
    <t>FTS23/0001943&amp;FTS23/0001941</t>
  </si>
  <si>
    <t>B96896667</t>
  </si>
  <si>
    <t>CHOLLOS EL BARATO S.L</t>
  </si>
  <si>
    <t>FTS23/0001165</t>
  </si>
  <si>
    <t>FTS23/0001957</t>
  </si>
  <si>
    <r>
      <t>1557.7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客户：CASH HOGAR CANARIAS S.L 发票号:FTS23/0001936 已到账 ；</t>
    </r>
    <phoneticPr fontId="1" type="noConversion"/>
  </si>
  <si>
    <r>
      <t>1195.4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客户：MODERN TIMES STORE S.L 发票号:FTS23/0001904&amp;FTS23/0001926&amp;FTS23/0001934 已到账 ；</t>
    </r>
    <phoneticPr fontId="1" type="noConversion"/>
  </si>
  <si>
    <r>
      <t>1736.83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客户：XIAOJUN CHEN 发票号:FTS23/0001943&amp;FTS23/0001941 已到账 ；</t>
    </r>
    <phoneticPr fontId="1" type="noConversion"/>
  </si>
  <si>
    <r>
      <t>1354.56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客户：CHOLLOS EL BARATO S.L 发票号:FTS23/0001165 已到账 支票已兑；</t>
    </r>
    <phoneticPr fontId="1" type="noConversion"/>
  </si>
  <si>
    <r>
      <t>375.09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客户：WYR HIPERMARKET S.L 发票号:FTS23/0001957 已到账 ；</t>
    </r>
    <phoneticPr fontId="1" type="noConversion"/>
  </si>
  <si>
    <t>X5650005D</t>
  </si>
  <si>
    <t>XUEZHEN CHEN</t>
  </si>
  <si>
    <t>FTS23/0001897</t>
  </si>
  <si>
    <t>X6081321Y</t>
  </si>
  <si>
    <t>ZHONGJIE CHENG</t>
  </si>
  <si>
    <t>FTS23/0001964</t>
  </si>
  <si>
    <r>
      <t>381.83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客户：XUEZHEN CHEN 发票号:FTS23/0001897 已到账 CBL托收；</t>
    </r>
    <phoneticPr fontId="1" type="noConversion"/>
  </si>
  <si>
    <r>
      <t>1203.18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客户：ZHONGJIE CHENG 发票号:FTS23/0001964 已到账 ；</t>
    </r>
    <phoneticPr fontId="1" type="noConversion"/>
  </si>
  <si>
    <t>FTS23/0001954&amp;FTS23/0001592&amp;FTS23/0001942&amp;FTS23/0001976&amp;FTS23/0001977</t>
  </si>
  <si>
    <r>
      <t>1801.92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客户：MERCA VALL 2022 S.L. 发票号:FTS23/0001954&amp;FTS23/0001592&amp;FTS23/0001942&amp;FTS23/0001976&amp;FTS23/0001977 已到账 ；</t>
    </r>
    <phoneticPr fontId="1" type="noConversion"/>
  </si>
  <si>
    <t>B10798189</t>
  </si>
  <si>
    <t>JR IMPORT CANARIAS 2022 S.L</t>
  </si>
  <si>
    <t>FTS23/0001771</t>
  </si>
  <si>
    <t>B44910974</t>
  </si>
  <si>
    <t>NOVALIFECOMERCIO S.L</t>
  </si>
  <si>
    <t>FTS23/0001968</t>
  </si>
  <si>
    <t>Y2277930R</t>
  </si>
  <si>
    <t>JIANXING HUANG</t>
  </si>
  <si>
    <t>FTS23/0001970</t>
  </si>
  <si>
    <t>X1209197H</t>
  </si>
  <si>
    <t>MEIZHOU ZHU</t>
  </si>
  <si>
    <t>FTS23/0001884&amp;FTS23/0001860&amp;FTS23/0001879</t>
  </si>
  <si>
    <t>Y3246264N</t>
  </si>
  <si>
    <t>LIHUA ZHANG</t>
  </si>
  <si>
    <t>FTS23/0001834</t>
  </si>
  <si>
    <t>B88054283</t>
  </si>
  <si>
    <t>MERCA ESTRADA S.L</t>
  </si>
  <si>
    <t>FTS23/0001955</t>
  </si>
  <si>
    <t>B87710786</t>
  </si>
  <si>
    <t>GRAN FAMILIA 2016 S.L 永顺</t>
  </si>
  <si>
    <t>FTS23/0000920&amp;FTS23/0000949</t>
  </si>
  <si>
    <t>B90228958</t>
  </si>
  <si>
    <t>COMERCIO IDEAL 2015 S.L 兄弟</t>
  </si>
  <si>
    <t>FTS23/0001426</t>
  </si>
  <si>
    <r>
      <t>770.21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客户：MEIZHOU ZHU 发票号:FTS23/0001884&amp;FTS23/0001860&amp;FTS23/0001879 已到账 ；</t>
    </r>
    <phoneticPr fontId="1" type="noConversion"/>
  </si>
  <si>
    <r>
      <t>1771.49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客户：LIHUA ZHANG 发票号:FTS23/0001834 已到账 ；</t>
    </r>
    <phoneticPr fontId="1" type="noConversion"/>
  </si>
  <si>
    <r>
      <t>894.9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客户：MERCA ESTRADA S.L 发票号:FTS23/0001955 已到账 ；</t>
    </r>
    <phoneticPr fontId="1" type="noConversion"/>
  </si>
  <si>
    <r>
      <t>2829.63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FAMILIA 2016 S.L 永顺 发票号:FTS23/0000920&amp;FTS23/0000949 已到账 支票已兑；</t>
    </r>
    <phoneticPr fontId="1" type="noConversion"/>
  </si>
  <si>
    <r>
      <t>8818.25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客户：COMERCIO IDEAL 2015 S.L 兄弟 发票号:FTS23/0001426 已到账 支票已兑；</t>
    </r>
    <phoneticPr fontId="1" type="noConversion"/>
  </si>
  <si>
    <r>
      <t>2679.35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客户：JR IMPORT CANARIAS 2022 S.L 发票号:FTS23/0001771 已到账 ；</t>
    </r>
    <phoneticPr fontId="1" type="noConversion"/>
  </si>
  <si>
    <r>
      <t>2441.75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客户：NOVALIFECOMERCIO S.L 发票号:FTS23/0001968 已到账 ；</t>
    </r>
    <phoneticPr fontId="1" type="noConversion"/>
  </si>
  <si>
    <r>
      <t>389.43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客户：JIANXING HUANG 发票号:FTS23/0001970 已到账 ；</t>
    </r>
    <phoneticPr fontId="1" type="noConversion"/>
  </si>
  <si>
    <t>X3865944N</t>
  </si>
  <si>
    <t xml:space="preserve">LIU XIA </t>
  </si>
  <si>
    <t xml:space="preserve"> FTS23/0001972</t>
    <phoneticPr fontId="1" type="noConversion"/>
  </si>
  <si>
    <t>B57701575</t>
  </si>
  <si>
    <t>HIPER AHORRO S.L</t>
  </si>
  <si>
    <t>FTS23/0001573&amp;FTS23/0001555</t>
  </si>
  <si>
    <t>FTS23/0001986</t>
  </si>
  <si>
    <r>
      <t>402.84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客户：LIU XIA  发票号: FTS23/0001972 已到账 ；</t>
    </r>
    <phoneticPr fontId="1" type="noConversion"/>
  </si>
  <si>
    <r>
      <t>1108.6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AHORRO S.L 发票号:FTS23/0001573&amp;FTS23/0001555 已到账 ；</t>
    </r>
    <phoneticPr fontId="1" type="noConversion"/>
  </si>
  <si>
    <r>
      <t>308.19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客户：LIFEN LIU 发票号:FTS23/0001986 已到账 ；</t>
    </r>
    <phoneticPr fontId="1" type="noConversion"/>
  </si>
  <si>
    <t>FTS23/0001950&amp;FTS23/0001946</t>
  </si>
  <si>
    <t>X1444859E</t>
  </si>
  <si>
    <t>BOKANG ZHENG</t>
  </si>
  <si>
    <t>FTS23/0001745</t>
  </si>
  <si>
    <r>
      <t>648.65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客户：MAXI CASA AMUNT S.L 发票号:FTS23/0001950&amp;FTS23/0001946 已到账 ；</t>
    </r>
    <phoneticPr fontId="1" type="noConversion"/>
  </si>
  <si>
    <r>
      <t>639.2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客户：BOKANG ZHENG 发票号:FTS23/0001745 已到账 ；</t>
    </r>
    <phoneticPr fontId="1" type="noConversion"/>
  </si>
  <si>
    <t>FT 23/0000329&amp;NC 23/0000152&amp;NC 23/0000103</t>
  </si>
  <si>
    <r>
      <t>1154.28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客户：HAOYUNLAI LDA 发票号:FT 23/0000329&amp;NC 23/0000152&amp;NC 23/0000103 已到账 ；</t>
    </r>
    <phoneticPr fontId="1" type="noConversion"/>
  </si>
  <si>
    <t>FTS23/0001981&amp;FTS23/0000138&amp;FTS23/0001995</t>
  </si>
  <si>
    <t>FTS23/0001991</t>
  </si>
  <si>
    <r>
      <t>184.1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客户：LE WANG 发票号:FTS23/0001981&amp;FTS23/0000138&amp;FTS23/0001995 已到账 ；</t>
    </r>
    <phoneticPr fontId="1" type="noConversion"/>
  </si>
  <si>
    <r>
      <t>795.55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客户：CHAOQUN DU 发票号:FTS23/0001991 已到账 ；</t>
    </r>
    <phoneticPr fontId="1" type="noConversion"/>
  </si>
  <si>
    <t>FTS23/0001733</t>
  </si>
  <si>
    <t>B16530941</t>
  </si>
  <si>
    <t>GRAN BAZAR SOLLER S.L</t>
  </si>
  <si>
    <t>FTS23/0001978</t>
  </si>
  <si>
    <t xml:space="preserve"> FTS23/0001949&amp;FTS23/0001921&amp;FTS23/0001922</t>
  </si>
  <si>
    <t>Y1669844N</t>
  </si>
  <si>
    <t>XUEHONG WU</t>
  </si>
  <si>
    <t>FTS23/0001985</t>
  </si>
  <si>
    <t>X3024525W</t>
  </si>
  <si>
    <t>MICHAEL LIN</t>
  </si>
  <si>
    <t>FTS23/0001962</t>
  </si>
  <si>
    <r>
      <t>702.47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客户：TE ESPERAMOS S.L. 发票号:FTS23/0001733 已到账 ；</t>
    </r>
    <phoneticPr fontId="1" type="noConversion"/>
  </si>
  <si>
    <r>
      <t>2698.28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BAZAR SOLLER S.L 发票号:FTS23/0001978 已到账 ；</t>
    </r>
    <phoneticPr fontId="1" type="noConversion"/>
  </si>
  <si>
    <r>
      <t>466.14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客户：JIA SHUN HE XIANG S.L 发票号: FTS23/0001949&amp;FTS23/0001921&amp;FTS23/0001922 已到账 CBL托收；</t>
    </r>
    <phoneticPr fontId="1" type="noConversion"/>
  </si>
  <si>
    <r>
      <t>507.67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客户：XUEHONG WU 发票号:FTS23/0001985 已到账 ；</t>
    </r>
    <phoneticPr fontId="1" type="noConversion"/>
  </si>
  <si>
    <r>
      <t>2157.55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客户：MICHAEL LIN 发票号:FTS23/0001962 已到账 ；</t>
    </r>
    <phoneticPr fontId="1" type="noConversion"/>
  </si>
  <si>
    <t>FTS23/0001868</t>
  </si>
  <si>
    <r>
      <t>4952.78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客户：HONG DA CHINA S.L  马拉加宏达 发票号:FTS23/0001868 已到账 支票已兑；</t>
    </r>
    <phoneticPr fontId="1" type="noConversion"/>
  </si>
  <si>
    <t>FTS23/0001982</t>
  </si>
  <si>
    <t>B72839970</t>
  </si>
  <si>
    <t>HOME ILLESCAS S.L</t>
  </si>
  <si>
    <t>FTS23/0001700&amp;FTS23/0001748&amp;FTS23/0001702&amp;FTS23/0002012</t>
  </si>
  <si>
    <r>
      <t>1128.5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客户：MI BAZAR S.L 王晓雪 发票号:FTS23/0001982 已到账 ；</t>
    </r>
    <phoneticPr fontId="1" type="noConversion"/>
  </si>
  <si>
    <r>
      <t>1061.93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客户：HOME ILLESCAS S.L 发票号:FTS23/0001700&amp;FTS23/0001748&amp;FTS23/0001702&amp;FTS23/0002012 已到账 ；</t>
    </r>
    <phoneticPr fontId="1" type="noConversion"/>
  </si>
  <si>
    <t>FTS23/0001818&amp;FTS23/0001822&amp;FTS23/0002015&amp;FTS23/0002017</t>
  </si>
  <si>
    <r>
      <t>5194.99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客户：SHOPPING CENTER CHINATOWN S.L 发票号:FTS23/0001818&amp;FTS23/0001822&amp;FTS23/0002015&amp;FTS23/0002017 已到账 ；</t>
    </r>
    <phoneticPr fontId="1" type="noConversion"/>
  </si>
  <si>
    <t>FTS23/0001402</t>
  </si>
  <si>
    <r>
      <t>2597.12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客户：CHOLLOS EL BARATO S.L 发票号:FTS23/0001402 已到账 支票已兑；</t>
    </r>
    <phoneticPr fontId="1" type="noConversion"/>
  </si>
  <si>
    <t>FT 23/0000327</t>
  </si>
  <si>
    <r>
      <t>1504.17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客户：LIWEI JIANG 发票号:FT 23/0000327 已到账 ；</t>
    </r>
    <phoneticPr fontId="1" type="noConversion"/>
  </si>
  <si>
    <t>X2956366S</t>
  </si>
  <si>
    <t>XU CHEN</t>
  </si>
  <si>
    <t>FTS23/0001961&amp;FTS23/0001932</t>
  </si>
  <si>
    <t>B05344007</t>
  </si>
  <si>
    <t>ALENANA 666 S.L</t>
  </si>
  <si>
    <t>FTS23/0001959</t>
  </si>
  <si>
    <r>
      <t>162.9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客户：XU CHEN 发票号:FTS23/0001961&amp;FTS23/0001932 已到账 CBL托收；</t>
    </r>
    <phoneticPr fontId="1" type="noConversion"/>
  </si>
  <si>
    <r>
      <t>206.77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客户：ALENANA 666 S.L 发票号:FTS23/0001959 已到账 CBL托收；</t>
    </r>
    <phoneticPr fontId="1" type="noConversion"/>
  </si>
  <si>
    <t>B86832516</t>
  </si>
  <si>
    <t>GRAN BAZAR LINSUN S.L</t>
  </si>
  <si>
    <t>FTS23/0002018&amp;FTS23/0002019</t>
  </si>
  <si>
    <r>
      <t>750.38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BAZAR LINSUN S.L 发票号:FTS23/0002018&amp;FTS23/0002019 已到账 ；</t>
    </r>
    <phoneticPr fontId="1" type="noConversion"/>
  </si>
  <si>
    <t>B27811553</t>
  </si>
  <si>
    <t>IUNTECH GALICIA S.L 齐力分公司</t>
  </si>
  <si>
    <r>
      <t>17256.34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客户：IUNTECH GALICIA S.L 齐力分公司 发票号:FTS23/0000753|FTS23/0000758|FTS23/0000783|FTS23/0000810|FTS23/0000833|FTS23/0000839|FTS23/0000838|FTS23/0000841|FTS23/0000887|FTS23/0000897|FTS23/0000896|FTS23/0000921|FTS23/0000978|FTS23/0000990|FTS23/0001008|FTS23/0001036|FTS23/0001039|FTS23/0001040|F 已到账 ；</t>
    </r>
    <phoneticPr fontId="1" type="noConversion"/>
  </si>
  <si>
    <t>FTS23/0000753|FTS23/0000758|FTS23/0000783|FTS23/0000810|FTS23/0000833|FTS23/0000839|FTS23/0000838|FTS23/0000841|FTS23/0000887|FTS23/0000897|FTS23/0000896|FTS23/0000921|FTS23/0000978|FTS23/0000990|FTS23/0001008|FTS23/0001036|FTS23/0001039|FTS23/0001040|F</t>
    <phoneticPr fontId="1" type="noConversion"/>
  </si>
  <si>
    <t>FTS23/0001963&amp;FTS23/0001594&amp;FTS23/0002051</t>
  </si>
  <si>
    <r>
      <t>2114.37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客户：MUNDOMAXI SL 发票号:FTS23/0001963&amp;FTS23/0001594&amp;FTS23/0002051 已到账 ；</t>
    </r>
    <phoneticPr fontId="1" type="noConversion"/>
  </si>
  <si>
    <t>FTS23/0001465</t>
  </si>
  <si>
    <r>
      <t>9000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客户：COMERCIO IDEAL 2015 S.L 兄弟 发票号:FTS23/0001465 已到账 支票已兑；</t>
    </r>
    <phoneticPr fontId="1" type="noConversion"/>
  </si>
  <si>
    <t>516211056</t>
  </si>
  <si>
    <t>FOLIA ERUDITA UNIPESSOAL LDA 张耀</t>
  </si>
  <si>
    <t>FTS23/0001454</t>
  </si>
  <si>
    <r>
      <t>12021.1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客户：FOLIA ERUDITA UNIPESSOAL LDA 张耀 发票号:FTS23/0001454 已到账 ；</t>
    </r>
    <phoneticPr fontId="1" type="noConversion"/>
  </si>
  <si>
    <r>
      <t>1324.49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客户：EL AZRAK MERJANI HAMZA 发票号:FTS23/0000371 已到账 ；</t>
    </r>
    <phoneticPr fontId="1" type="noConversion"/>
  </si>
  <si>
    <t>B09862236</t>
  </si>
  <si>
    <t>GOOD HOME TORO S.L</t>
  </si>
  <si>
    <t>FTS23/0002031&amp;FTS23/0002041</t>
  </si>
  <si>
    <t xml:space="preserve"> FTS23/0002056</t>
  </si>
  <si>
    <t>X7469455K</t>
  </si>
  <si>
    <t>QIAN WU</t>
  </si>
  <si>
    <t>FTS23/0002059</t>
  </si>
  <si>
    <t xml:space="preserve"> FTS23/0002061</t>
  </si>
  <si>
    <r>
      <t>644.07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客户：GOOD HOME TORO S.L 发票号:FTS23/0002031&amp;FTS23/0002041 已到账 ；</t>
    </r>
    <phoneticPr fontId="1" type="noConversion"/>
  </si>
  <si>
    <r>
      <t>371.41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客户：GUOFENG LIANG 发票号: FTS23/0002056 已到账 ；</t>
    </r>
    <phoneticPr fontId="1" type="noConversion"/>
  </si>
  <si>
    <r>
      <t>167.24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客户：QIAN WU 发票号:FTS23/0002059 已到账 ；</t>
    </r>
    <phoneticPr fontId="1" type="noConversion"/>
  </si>
  <si>
    <r>
      <t>613.79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客户：CHENG HONG 发票号: FTS23/0002061 已到账 ；</t>
    </r>
    <phoneticPr fontId="1" type="noConversion"/>
  </si>
  <si>
    <t>X1974957Q</t>
  </si>
  <si>
    <t>JIANZHEN ZHANG</t>
  </si>
  <si>
    <t>FTS23/0002047&amp;FTS23/0001952&amp;FTS23/0002006&amp;FTS23/0002066&amp;FTS23/0002067</t>
  </si>
  <si>
    <t>FTS23/0002046</t>
  </si>
  <si>
    <t>267.17€ 客户：JIANZHEN ZHANG 发票号:FTS23/0002047&amp;FTS23/0001952&amp;FTS23/0002006&amp;FTS23/0002066&amp;FTS23/0002067 已到账 ；</t>
  </si>
  <si>
    <r>
      <t>1009.12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客户：LIDI JIN 发票号:FTS23/0002046 已到账 ；</t>
    </r>
    <phoneticPr fontId="1" type="noConversion"/>
  </si>
  <si>
    <t>FTS23/0002039</t>
  </si>
  <si>
    <r>
      <t>1266.07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客户：GUANHAI DU 发票号:FTS23/0002039 已到账 ；</t>
    </r>
    <phoneticPr fontId="1" type="noConversion"/>
  </si>
  <si>
    <t xml:space="preserve"> FTS23/0000816</t>
  </si>
  <si>
    <r>
      <t>2004.54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客户：BAZARHU 2020 S.L 发票号: FTS23/0000816 已到账 支票已兑；</t>
    </r>
    <phoneticPr fontId="1" type="noConversion"/>
  </si>
  <si>
    <t>B87165064</t>
  </si>
  <si>
    <t>SHIXIN TECHNOLOGY S.L.U 海威特</t>
  </si>
  <si>
    <t>FTS23/0001641</t>
  </si>
  <si>
    <r>
      <t>1135.72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客户：SHIXIN TECHNOLOGY S.L.U 海威特 发票号:FTS23/0001641 已到账 ；</t>
    </r>
    <phoneticPr fontId="1" type="noConversion"/>
  </si>
  <si>
    <t>FTS23/0002048</t>
  </si>
  <si>
    <t>FTS23/0002055</t>
  </si>
  <si>
    <r>
      <t>403.38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客户：EL AZRAK MERJANI HAMZA 发票号:FTS23/0002048 已到账 ；</t>
    </r>
    <phoneticPr fontId="1" type="noConversion"/>
  </si>
  <si>
    <r>
      <t>197.12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客户：HOME ILLESCAS S.L 发票号:FTS23/0002055 已到账 ；</t>
    </r>
    <phoneticPr fontId="1" type="noConversion"/>
  </si>
  <si>
    <t>FTS23/0002069&amp;FTS23/0002042&amp;FTS23/0002043</t>
  </si>
  <si>
    <t>X4254681A</t>
  </si>
  <si>
    <t>LEI YANG</t>
  </si>
  <si>
    <t>FTS23/0002074</t>
    <phoneticPr fontId="1" type="noConversion"/>
  </si>
  <si>
    <r>
      <t>546.43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客户：XINGFA 2021 S.L 发票号:FTS23/0002069&amp;FTS23/0002042&amp;FTS23/0002043 已到账 ；</t>
    </r>
    <phoneticPr fontId="1" type="noConversion"/>
  </si>
  <si>
    <r>
      <t>506.69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客户：LEI YANG 发票号:FTS23/0002074 已到账 ；</t>
    </r>
    <phoneticPr fontId="1" type="noConversion"/>
  </si>
  <si>
    <t>B57889123</t>
  </si>
  <si>
    <t>HIPER CHINO CIUTADELLA S.L</t>
  </si>
  <si>
    <t>FTS23/0001264</t>
  </si>
  <si>
    <r>
      <t>708.71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CHINO CIUTADELLA S.L 发票号:FTS23/0001264 已到账 支票已兑；</t>
    </r>
    <phoneticPr fontId="1" type="noConversion"/>
  </si>
  <si>
    <t>FTS23/0002065</t>
  </si>
  <si>
    <t>FTS23/0002075&amp;FTS23/0001587</t>
  </si>
  <si>
    <r>
      <t>393.8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客户：MARKET FAMILY XU S.L 发票号:FTS23/0002065 已到账 ；</t>
    </r>
    <phoneticPr fontId="1" type="noConversion"/>
  </si>
  <si>
    <r>
      <t>1098.13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客户：BASAR LLUIS COMPANYS S.L 发票号:FTS23/0002075&amp;FTS23/0001587 已到账 ；</t>
    </r>
    <phoneticPr fontId="1" type="noConversion"/>
  </si>
  <si>
    <t>FTS23/0002093&amp;FTS23/0002094</t>
  </si>
  <si>
    <t>B98661655</t>
  </si>
  <si>
    <t>J&amp;C REPARACIONES Y ACCEORIO DE MOVILES S.L 超能</t>
  </si>
  <si>
    <t xml:space="preserve"> FTS23/0002079</t>
  </si>
  <si>
    <r>
      <t>285.98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客户：COMERCIALIZACIONES DIAMANTE S.L 发票号:FTS23/0002093&amp;FTS23/0002094 已到账 ；</t>
    </r>
    <phoneticPr fontId="1" type="noConversion"/>
  </si>
  <si>
    <r>
      <t>595.46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客户：J&amp;C REPARACIONES Y ACCEORIO DE MOVILES S.L 超能 发票号: FTS23/0002079 已到账 ；</t>
    </r>
    <phoneticPr fontId="1" type="noConversion"/>
  </si>
  <si>
    <t>B73723058</t>
  </si>
  <si>
    <t>CASA DEL SURESTE S.L 万泰</t>
  </si>
  <si>
    <t>FTS23/0001440</t>
  </si>
  <si>
    <r>
      <t>3310.28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客户：CASA DEL SURESTE S.L 万泰 发票号:FTS23/0001440 已到账 支票已兑；</t>
    </r>
    <phoneticPr fontId="1" type="noConversion"/>
  </si>
  <si>
    <t>509889026</t>
  </si>
  <si>
    <t>CIDADE DA FAMA - UNIPESSOAL LDA 王永伟</t>
  </si>
  <si>
    <t>FT 23/0000337&amp;NC 23/0000203</t>
  </si>
  <si>
    <r>
      <t>1307.04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客户：CIDADE DA FAMA - UNIPESSOAL LDA 王永伟 发票号:FT 23/0000337&amp;NC 23/0000203 已到账 ；</t>
    </r>
    <phoneticPr fontId="1" type="noConversion"/>
  </si>
  <si>
    <t>250074087</t>
  </si>
  <si>
    <t>ZHAO LIHUA</t>
  </si>
  <si>
    <t>FT 23/0000330&amp;NC 23/0000246</t>
  </si>
  <si>
    <r>
      <t>5007.3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客户：ZHAO LIHUA 发票号:FT 23/0000330&amp;NC 23/0000246 已到账 ；</t>
    </r>
    <phoneticPr fontId="1" type="noConversion"/>
  </si>
  <si>
    <t>FTS23/0002088</t>
  </si>
  <si>
    <r>
      <t>1866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客户：MARKET RUBI 2018 S.L 发票号:FTS23/0002088 已到账 ；</t>
    </r>
    <phoneticPr fontId="1" type="noConversion"/>
  </si>
  <si>
    <t>X2744401H</t>
  </si>
  <si>
    <t>CHENGXIN ZHANG</t>
  </si>
  <si>
    <t>FTS23/0001697</t>
  </si>
  <si>
    <t>B05488879</t>
  </si>
  <si>
    <t>D&amp;D DECOR 2021 S.L</t>
  </si>
  <si>
    <t>FTS23/0002089</t>
  </si>
  <si>
    <r>
      <t>1157.35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客户：CHENGXIN ZHANG 发票号:FTS23/0001697 已到账 ；</t>
    </r>
    <phoneticPr fontId="1" type="noConversion"/>
  </si>
  <si>
    <r>
      <t>540.3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客户：D&amp;D DECOR 2021 S.L 发票号:FTS23/0002089 已到账 ；</t>
    </r>
    <phoneticPr fontId="1" type="noConversion"/>
  </si>
  <si>
    <t>FTS23/0002098</t>
  </si>
  <si>
    <t>B87975389</t>
  </si>
  <si>
    <t>YIZHONGTIAN S.L FTS23/0002076</t>
  </si>
  <si>
    <t>FTS23/0002076</t>
  </si>
  <si>
    <t>FTS23/0002112</t>
  </si>
  <si>
    <t>B67698415</t>
  </si>
  <si>
    <t>AYT EXPRESS 安易通国际物流</t>
  </si>
  <si>
    <t>FTS23/0002086</t>
  </si>
  <si>
    <t>B76136779</t>
  </si>
  <si>
    <t>BAZAR KIRIN S.L</t>
  </si>
  <si>
    <t>FTS23/0001541</t>
  </si>
  <si>
    <t>X9772197A</t>
  </si>
  <si>
    <t>BIYU GUAN</t>
  </si>
  <si>
    <t>FTS23/0001188</t>
  </si>
  <si>
    <t>FTS23/0001466</t>
  </si>
  <si>
    <t>FTS23/0001263</t>
  </si>
  <si>
    <r>
      <t>3828.9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客户：CASH HOGAR CANARIAS S.L 发票号:FTS23/0002098 已到账 ；</t>
    </r>
    <phoneticPr fontId="1" type="noConversion"/>
  </si>
  <si>
    <r>
      <t>241.62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客户：YIZHONGTIAN S.L FTS23/0002076 发票号:FTS23/0002076 已到账 ；</t>
    </r>
    <phoneticPr fontId="1" type="noConversion"/>
  </si>
  <si>
    <r>
      <t>480.74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客户：LUOJUN WANG 发票号:FTS23/0002112 已到账 ；</t>
    </r>
    <phoneticPr fontId="1" type="noConversion"/>
  </si>
  <si>
    <r>
      <t>824.37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客户：FU LIN 发票号:FTS23/0002086 已到账 ；</t>
    </r>
    <phoneticPr fontId="1" type="noConversion"/>
  </si>
  <si>
    <r>
      <t>1227.72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KIRIN S.L 发票号:FTS23/0001541 已到账 ；</t>
    </r>
    <phoneticPr fontId="1" type="noConversion"/>
  </si>
  <si>
    <r>
      <t>556.1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客户：BIYU GUAN 发票号:FTS23/0001188 已到账 ；</t>
    </r>
    <phoneticPr fontId="1" type="noConversion"/>
  </si>
  <si>
    <r>
      <t>9000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客户：COMERCIO IDEAL 2015 S.L 兄弟 发票号:FTS23/0001466 已到账 支票已兑；</t>
    </r>
    <phoneticPr fontId="1" type="noConversion"/>
  </si>
  <si>
    <r>
      <t>708.71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ES XINES S.L 发票号:FTS23/0001263 已到账 支票已兑；</t>
    </r>
    <phoneticPr fontId="1" type="noConversion"/>
  </si>
  <si>
    <t>225224224</t>
  </si>
  <si>
    <t>SHAN CHUNE</t>
  </si>
  <si>
    <t>FT 23/0000355</t>
  </si>
  <si>
    <t>513225340</t>
  </si>
  <si>
    <t>CIDADE REALCE LDA 王永伟</t>
  </si>
  <si>
    <t>FT 23/0000336&amp;NC 23/0000112</t>
  </si>
  <si>
    <r>
      <t>717.11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客户：SHAN CHUNE 发票号:FT 23/0000355 已到账 ；</t>
    </r>
    <phoneticPr fontId="1" type="noConversion"/>
  </si>
  <si>
    <r>
      <t>678.06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客户：CIDADE REALCE LDA 王永伟 发票号:FT 23/0000336&amp;NC 23/0000112 已到账 ；</t>
    </r>
    <phoneticPr fontId="1" type="noConversion"/>
  </si>
  <si>
    <t>X4685100T</t>
  </si>
  <si>
    <t>XIAODIE YE</t>
  </si>
  <si>
    <t>FTS23/0001774</t>
  </si>
  <si>
    <r>
      <t>2076.25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客户：XIAODIE YE 发票号:FTS23/0001774 已到账 ；</t>
    </r>
    <phoneticPr fontId="1" type="noConversion"/>
  </si>
  <si>
    <t>B88229208</t>
  </si>
  <si>
    <t>BEST DECORACION HOUSE S.L</t>
  </si>
  <si>
    <t>FTS23/0002032</t>
  </si>
  <si>
    <r>
      <t>497.95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客户：BEST DECORACION HOUSE S.L 发票号:FTS23/0002032 已到账 ；</t>
    </r>
    <phoneticPr fontId="1" type="noConversion"/>
  </si>
  <si>
    <t>J06903744</t>
  </si>
  <si>
    <t>RUIJIA SCP</t>
  </si>
  <si>
    <t>FTS23/0001373</t>
  </si>
  <si>
    <r>
      <t>1914.92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客户：RUIJIA SCP 发票号:FTS23/0001373 已到账 ；</t>
    </r>
    <phoneticPr fontId="1" type="noConversion"/>
  </si>
  <si>
    <t>FTS23/0001869</t>
  </si>
  <si>
    <t xml:space="preserve"> FTS23/0001871</t>
  </si>
  <si>
    <t>B57903643</t>
  </si>
  <si>
    <t>HIPER HOGAR IBIZA S.L</t>
  </si>
  <si>
    <t xml:space="preserve"> FTS23/0001314</t>
  </si>
  <si>
    <r>
      <t>5031.83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客户：HONG DA CHINA S.L  马拉加宏达 发票号:FTS23/0001869 已到账 支票已兑；</t>
    </r>
    <phoneticPr fontId="1" type="noConversion"/>
  </si>
  <si>
    <r>
      <t>5849.88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客户：STOCKAGO ECOM,S.L 发票号: FTS23/0001871 已到账 ；</t>
    </r>
    <phoneticPr fontId="1" type="noConversion"/>
  </si>
  <si>
    <r>
      <t>585.85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HOGAR IBIZA S.L 发票号: FTS23/0001314 已到账 ；</t>
    </r>
    <phoneticPr fontId="1" type="noConversion"/>
  </si>
  <si>
    <t>FT 23/0000303&amp;FT 23/0000299&amp;FT 23/0000310&amp;NC 23/0000223&amp;NC 23/0000212</t>
  </si>
  <si>
    <r>
      <t>5956.21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客户：CASA SHAO LDA 徐新春 发票号:FT 23/0000303&amp;FT 23/0000299&amp;FT 23/0000310&amp;NC 23/0000223&amp;NC 23/0000212 已到账 ；</t>
    </r>
    <phoneticPr fontId="1" type="noConversion"/>
  </si>
  <si>
    <t>Y1100526J</t>
  </si>
  <si>
    <t>WUDI ZHOU 武迪</t>
  </si>
  <si>
    <t>FTS23/0002111&amp;FTS23/0002165&amp;FTS23/0000077&amp;FTS23/0002166</t>
  </si>
  <si>
    <r>
      <t>470.97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客户：WUDI ZHOU 武迪 发票号:FTS23/0002111&amp;FTS23/0002165&amp;FTS23/0000077&amp;FTS23/0002166 已到账 ；</t>
    </r>
    <phoneticPr fontId="1" type="noConversion"/>
  </si>
  <si>
    <t xml:space="preserve"> FTS23/0002028</t>
  </si>
  <si>
    <t>B57978850</t>
  </si>
  <si>
    <t>DECO FORTUNA MALLORCA S.L</t>
  </si>
  <si>
    <t>FTS23/0001602&amp;FTS23/0002126</t>
  </si>
  <si>
    <r>
      <t>465.85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客户：QINGSONG JIANKANG SL. 发票号: FTS23/0002028 已到账 CBL托收；</t>
    </r>
    <phoneticPr fontId="1" type="noConversion"/>
  </si>
  <si>
    <r>
      <t>1003.81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客户：DECO FORTUNA MALLORCA S.L 发票号:FTS23/0001602&amp;FTS23/0002126 已到账 ；</t>
    </r>
    <phoneticPr fontId="1" type="noConversion"/>
  </si>
  <si>
    <t>X4052729Z</t>
  </si>
  <si>
    <t>SUIQIAN LIAO</t>
  </si>
  <si>
    <t>FTS23/0000782</t>
  </si>
  <si>
    <t xml:space="preserve"> FTS23/0001600&amp;FTS23/0001564&amp;FTS23/0001562</t>
  </si>
  <si>
    <r>
      <t>2287.67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客户：SUIQIAN LIAO 发票号:FTS23/0000782 已到账 ；</t>
    </r>
    <phoneticPr fontId="1" type="noConversion"/>
  </si>
  <si>
    <r>
      <t>2984.41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客户：LA FAMILIA ZHOU S.L 发票号: FTS23/0001600&amp;FTS23/0001564&amp;FTS23/0001562 已到账 支票已兑；</t>
    </r>
    <phoneticPr fontId="1" type="noConversion"/>
  </si>
  <si>
    <t>B72436322</t>
  </si>
  <si>
    <t>HOME WEI 88 S.L</t>
  </si>
  <si>
    <t>FTS23/0002124</t>
  </si>
  <si>
    <r>
      <t>325.33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客户：HOME WEI 88 S.L 发票号:FTS23/0002124 已到账 ；</t>
    </r>
    <phoneticPr fontId="1" type="noConversion"/>
  </si>
  <si>
    <t>B42839555</t>
  </si>
  <si>
    <t>TODO CASA ESPANA RC S.L</t>
  </si>
  <si>
    <t>FTS23/0002134</t>
  </si>
  <si>
    <t>FTS23/0002096</t>
  </si>
  <si>
    <t>X2539012L</t>
  </si>
  <si>
    <t>CHEN HAIYAN</t>
  </si>
  <si>
    <t>FTS23/0002182</t>
  </si>
  <si>
    <r>
      <t>3709.25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客户：TODO CASA ESPANA RC S.L 发票号:FTS23/0002134 已到账 ；</t>
    </r>
    <phoneticPr fontId="1" type="noConversion"/>
  </si>
  <si>
    <r>
      <t>511.65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客户：QIBIAO HUANG 发票号:FTS23/0002096 已到账 CBL托收；</t>
    </r>
    <phoneticPr fontId="1" type="noConversion"/>
  </si>
  <si>
    <r>
      <t>603.54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 HAIYAN 发票号:FTS23/0002182 已到账 ；</t>
    </r>
    <phoneticPr fontId="1" type="noConversion"/>
  </si>
  <si>
    <t>FTS23/0002135</t>
  </si>
  <si>
    <t>FTS23/0002188</t>
  </si>
  <si>
    <r>
      <t>475.5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客户：SENWEI WU 发票号:FTS23/0002135 已到账 ；</t>
    </r>
    <phoneticPr fontId="1" type="noConversion"/>
  </si>
  <si>
    <r>
      <t>1158.15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客户：EURO HOGAR CARBALLO S.L 发票号:FTS23/0002188 已到账 ；</t>
    </r>
    <phoneticPr fontId="1" type="noConversion"/>
  </si>
  <si>
    <t>B70560578</t>
  </si>
  <si>
    <t>UNIHOME ORTEGAL S.L</t>
  </si>
  <si>
    <t>FTS23/0002189</t>
  </si>
  <si>
    <r>
      <t>1020.4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客户：UNIHOME ORTEGAL S.L 发票号:FTS23/0002189 已到账 ；</t>
    </r>
    <phoneticPr fontId="1" type="noConversion"/>
  </si>
  <si>
    <t>B47677075</t>
  </si>
  <si>
    <t>GRAN LAGUNA 2011 S.L</t>
  </si>
  <si>
    <t>FTS23/0000965</t>
  </si>
  <si>
    <t>B93741288</t>
  </si>
  <si>
    <t>DOS HERMANAS STYLE SOL S.L 润达</t>
  </si>
  <si>
    <t>FTS23/0001872</t>
  </si>
  <si>
    <r>
      <t>883.76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LAGUNA 2011 S.L 发票号:FTS23/0000965 已到账 支票已兑；</t>
    </r>
    <phoneticPr fontId="1" type="noConversion"/>
  </si>
  <si>
    <r>
      <t>3808.54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客户：DOS HERMANAS STYLE SOL S.L 润达 发票号:FTS23/0001872 已到账 支票已兑；</t>
    </r>
    <phoneticPr fontId="1" type="noConversion"/>
  </si>
  <si>
    <r>
      <t>765.56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MIRACAMPO S.L 发票号:FTS23/0001098 已到账 支票已兑；</t>
    </r>
    <phoneticPr fontId="1" type="noConversion"/>
  </si>
  <si>
    <t>248348183</t>
  </si>
  <si>
    <t>SHUANGYAN HUANG 黄双燕</t>
  </si>
  <si>
    <t>FT 23/0000210</t>
  </si>
  <si>
    <r>
      <t>553.28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客户：SHUANGYAN HUANG 黄双燕 发票号:FT 23/0000210 已到账 ；</t>
    </r>
    <phoneticPr fontId="1" type="noConversion"/>
  </si>
  <si>
    <t>FTS23/0001719&amp;FTS23/0001767&amp;FTS23/0001755&amp;FTS23/0001797</t>
  </si>
  <si>
    <t>FTS23/0001813&amp;FTS23/0001845&amp;FTS23/0001823</t>
  </si>
  <si>
    <t>FTS23/0002136</t>
  </si>
  <si>
    <r>
      <t>430.27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客户：IUNTECH GALICIA S.L 齐力分公司 发票号:FTS23/0001719&amp;FTS23/0001767&amp;FTS23/0001755&amp;FTS23/0001797 已到账 ；</t>
    </r>
    <phoneticPr fontId="1" type="noConversion"/>
  </si>
  <si>
    <r>
      <t>1204.25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客户：SUPER DENFU S.L 发票号:FTS23/0001813&amp;FTS23/0001845&amp;FTS23/0001823 已到账 ；</t>
    </r>
    <phoneticPr fontId="1" type="noConversion"/>
  </si>
  <si>
    <r>
      <t>262.34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客户：RED COOL S.L 发票号:FTS23/0002136 已到账 ；</t>
    </r>
    <phoneticPr fontId="1" type="noConversion"/>
  </si>
  <si>
    <t>FTS23/0002186</t>
  </si>
  <si>
    <t xml:space="preserve"> FTS23/0002237</t>
  </si>
  <si>
    <t>X5012297E</t>
  </si>
  <si>
    <t>PEIZHI CHEN</t>
  </si>
  <si>
    <t>FTS23/0002216</t>
  </si>
  <si>
    <t>FTS23/0002167</t>
  </si>
  <si>
    <t>FTS23/0001261</t>
  </si>
  <si>
    <t>B57922882</t>
  </si>
  <si>
    <t>HIPER ASIA PALMA S.L</t>
  </si>
  <si>
    <t>FTS23/0001381</t>
  </si>
  <si>
    <t>FTS23/0002224</t>
  </si>
  <si>
    <t>预收账款</t>
    <phoneticPr fontId="1" type="noConversion"/>
  </si>
  <si>
    <r>
      <t>2690.73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客户：PEIZHI CHEN 发票号:FTS23/0002216 已到账 ；</t>
    </r>
    <phoneticPr fontId="1" type="noConversion"/>
  </si>
  <si>
    <r>
      <t>6000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客户：STOCK IN SPAIN ELECTRONICS S.L 步步高 发票号:FTS23/0002167 已到账 支票已兑；</t>
    </r>
    <phoneticPr fontId="1" type="noConversion"/>
  </si>
  <si>
    <r>
      <t>2033.53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CAN VALERO S.L 发票号:FTS23/0001261 已到账 支票已兑；</t>
    </r>
    <phoneticPr fontId="1" type="noConversion"/>
  </si>
  <si>
    <r>
      <t>623.98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ASIA PALMA S.L 发票号:FTS23/0001381 已到账 支票已兑；</t>
    </r>
    <phoneticPr fontId="1" type="noConversion"/>
  </si>
  <si>
    <r>
      <t>3149.76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客户：LUOJUN WANG 发票号:FTS23/0002224 已到账 预收账款；</t>
    </r>
    <phoneticPr fontId="1" type="noConversion"/>
  </si>
  <si>
    <r>
      <t>385.26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客户：XINMEIJIA S.L. 发票号:FTS23/0002186 已到账 ；</t>
    </r>
    <phoneticPr fontId="1" type="noConversion"/>
  </si>
  <si>
    <r>
      <t>218.43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客户：TEMING CHENG 发票号: FTS23/0002237 已到账 ；</t>
    </r>
    <phoneticPr fontId="1" type="noConversion"/>
  </si>
  <si>
    <t>516435310</t>
  </si>
  <si>
    <t>TUPIPCAPRICE LDA 孙茂克</t>
  </si>
  <si>
    <t>FT 23/0000360</t>
  </si>
  <si>
    <r>
      <t>455.48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客户：TUPIPCAPRICE LDA 孙茂克 发票号:FT 23/0000360 已到账 ；</t>
    </r>
    <phoneticPr fontId="1" type="noConversion"/>
  </si>
  <si>
    <t>278723152</t>
  </si>
  <si>
    <t>YIN XU 徐银</t>
  </si>
  <si>
    <t>FT 23/0000304</t>
  </si>
  <si>
    <t>509097863</t>
  </si>
  <si>
    <t>HAPPY ENJOY LDA 章华千</t>
  </si>
  <si>
    <t xml:space="preserve"> FT 23/0000220</t>
  </si>
  <si>
    <t>FT23/0000287&amp;NC23/0000123</t>
  </si>
  <si>
    <t>509051456</t>
  </si>
  <si>
    <t>FELIZELEITO UNIP. LDA 陈定保</t>
  </si>
  <si>
    <t>FT23/0000273&amp;NC23/0000119</t>
  </si>
  <si>
    <t>514665785</t>
  </si>
  <si>
    <t>MAO &amp; QIN IMPORTACAO E EXPORTACAO LDA 秦峰</t>
  </si>
  <si>
    <t>FT 23/0000286</t>
  </si>
  <si>
    <t>514153512</t>
  </si>
  <si>
    <t>ALTURA SOLENE UNIPESSOAL LDA 叶伯光</t>
  </si>
  <si>
    <t>FT23/0000315&amp;NC23/0000238</t>
  </si>
  <si>
    <t>FT23/0000258&amp;NC23/0000239</t>
  </si>
  <si>
    <t>513210261</t>
  </si>
  <si>
    <t>YOUNGWAY LDA 张洪波</t>
  </si>
  <si>
    <t>FT 23/0000288</t>
  </si>
  <si>
    <t>FT23/0000257&amp;NC23/0000154</t>
  </si>
  <si>
    <t>FT 23/0000372&amp;NC 23/0000170&amp;NC 23/0000176</t>
  </si>
  <si>
    <r>
      <t>1284.24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客户：YIN XU 徐银 发票号:FT 23/0000304 已到账 支票已兑；</t>
    </r>
    <phoneticPr fontId="1" type="noConversion"/>
  </si>
  <si>
    <r>
      <t>3368.22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客户：HAPPY ENJOY LDA 章华千 发票号: FT 23/0000220 已到账 支票已兑；</t>
    </r>
    <phoneticPr fontId="1" type="noConversion"/>
  </si>
  <si>
    <r>
      <t>2276.55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客户：FELIZELEITO UNIP. LDA 陈定保 发票号:FT23/0000287&amp;NC23/0000123 已到账 支票已兑；</t>
    </r>
    <phoneticPr fontId="1" type="noConversion"/>
  </si>
  <si>
    <r>
      <t>1516.2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客户：SHUANGYAN HUANG 黄双燕 发票号:FT23/0000273&amp;NC23/0000119 已到账 支票已兑；</t>
    </r>
    <phoneticPr fontId="1" type="noConversion"/>
  </si>
  <si>
    <r>
      <t>1821.38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客户：MAO &amp; QIN IMPORTACAO E EXPORTACAO LDA 秦峰 发票号:FT 23/0000286 已到账 支票已兑；</t>
    </r>
    <phoneticPr fontId="1" type="noConversion"/>
  </si>
  <si>
    <r>
      <t>2115.83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客户：ALTURA SOLENE UNIPESSOAL LDA 叶伯光 发票号:FT23/0000315&amp;NC23/0000238 已到账 支票已兑；</t>
    </r>
    <phoneticPr fontId="1" type="noConversion"/>
  </si>
  <si>
    <r>
      <t>783.55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客户：LIU FANG UNIPESSOAL LDA 陈旭 刘芳 发票号:FT23/0000258&amp;NC23/0000239 已到账 支票已兑；</t>
    </r>
    <phoneticPr fontId="1" type="noConversion"/>
  </si>
  <si>
    <r>
      <t>861.62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客户：YOUNGWAY LDA 张洪波 发票号:FT 23/0000288 已到账 支票已兑；</t>
    </r>
    <phoneticPr fontId="1" type="noConversion"/>
  </si>
  <si>
    <r>
      <t>1714.83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客户：ALTURA SOLENE UNIPESSOAL LDA 叶伯光 发票号:FT23/0000257&amp;NC23/0000154 已到账 支票已兑；</t>
    </r>
    <phoneticPr fontId="1" type="noConversion"/>
  </si>
  <si>
    <r>
      <t>1223.76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客户：IMPORTANCIA SIMPATICA UNIPESSOAL LDA 刘荣女儿店 发票号:FT 23/0000372&amp;NC 23/0000170&amp;NC 23/0000176 已到账 ；</t>
    </r>
    <phoneticPr fontId="1" type="noConversion"/>
  </si>
  <si>
    <t>FT 23/0000342&amp;FT 23/0000343&amp;NC 23/0000248&amp;NC 23/0000254</t>
  </si>
  <si>
    <r>
      <t>1309.88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客户：LIWEI JIANG 发票号:FT 23/0000342&amp;FT 23/0000343&amp;NC 23/0000248&amp;NC 23/0000254 已到账 ；</t>
    </r>
    <phoneticPr fontId="1" type="noConversion"/>
  </si>
  <si>
    <t>FTS23/0002232</t>
  </si>
  <si>
    <t>FTS23/0002233</t>
  </si>
  <si>
    <r>
      <t>1429.2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客户：YINGYING MAOXU  发票号:FTS23/0002232 已到账 ；</t>
    </r>
    <phoneticPr fontId="1" type="noConversion"/>
  </si>
  <si>
    <r>
      <t>443.64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客户：CHANG ZONG LI 发票号:FTS23/0002233 已到账 ；</t>
    </r>
    <phoneticPr fontId="1" type="noConversion"/>
  </si>
  <si>
    <t>FTS23/0002192</t>
  </si>
  <si>
    <t>FTS23/0001804</t>
  </si>
  <si>
    <t>B47710629</t>
  </si>
  <si>
    <t>GRAN VALLADOLID  S.L</t>
  </si>
  <si>
    <t>FTS23/0000967</t>
  </si>
  <si>
    <t>FTS23/0001260</t>
  </si>
  <si>
    <t>B22432744</t>
  </si>
  <si>
    <t>CRUZ XECA S.L 陈毅伟</t>
  </si>
  <si>
    <t>FTS23/0002078</t>
    <phoneticPr fontId="1" type="noConversion"/>
  </si>
  <si>
    <t>FTS23/0002253</t>
  </si>
  <si>
    <t>退客户差价</t>
    <phoneticPr fontId="1" type="noConversion"/>
  </si>
  <si>
    <t>-546.65€ 客户：LUOJUN WANG 发票号:FTS23/0002253 已到账 退客户差价；</t>
  </si>
  <si>
    <r>
      <t>361.96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 YIBING 发票号:FTS23/0002192 已到账 ；</t>
    </r>
    <phoneticPr fontId="1" type="noConversion"/>
  </si>
  <si>
    <r>
      <t>1572.05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客户：RED COOL S.L 发票号:FTS23/0001804 已到账 支票已兑；</t>
    </r>
    <phoneticPr fontId="1" type="noConversion"/>
  </si>
  <si>
    <r>
      <t>770.31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VALLADOLID  S.L 发票号:FTS23/0000967 已到账 支票已兑；</t>
    </r>
    <phoneticPr fontId="1" type="noConversion"/>
  </si>
  <si>
    <r>
      <t>952.68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HOGAR POPULAR S.L 发票号:FTS23/0001260 已到账 支票已兑；</t>
    </r>
    <phoneticPr fontId="1" type="noConversion"/>
  </si>
  <si>
    <r>
      <t>748.71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客户：CRUZ XECA S.L 陈毅伟 发票号:FTS23/0002078 已到账 支票已兑；</t>
    </r>
    <phoneticPr fontId="1" type="noConversion"/>
  </si>
  <si>
    <t xml:space="preserve"> FTS23/0002196&amp;FTS23/0001856&amp;FTS23/0002171</t>
  </si>
  <si>
    <t>B01795012</t>
  </si>
  <si>
    <t>BAZAR GRAND FORTUNA S.L</t>
  </si>
  <si>
    <t>FTS23/0002068&amp;FTS23/0002242</t>
  </si>
  <si>
    <t>FTS23/0002033</t>
  </si>
  <si>
    <r>
      <t>959.23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客户：ASIAN GARDEN SECRET S.L 发票号: FTS23/0002196&amp;FTS23/0001856&amp;FTS23/0002171 已到账 ；</t>
    </r>
    <phoneticPr fontId="1" type="noConversion"/>
  </si>
  <si>
    <r>
      <t>2644.8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GRAND FORTUNA S.L 发票号:FTS23/0002068&amp;FTS23/0002242 已到账 ；</t>
    </r>
    <phoneticPr fontId="1" type="noConversion"/>
  </si>
  <si>
    <r>
      <t>720.83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客户：TE ESPERAMOS S.L. 发票号:FTS23/0002033 已到账 ；</t>
    </r>
    <phoneticPr fontId="1" type="noConversion"/>
  </si>
  <si>
    <t>B88007984</t>
  </si>
  <si>
    <t>MCDOG MUSIC S.L</t>
  </si>
  <si>
    <t>FTS23/0002036</t>
  </si>
  <si>
    <t>B66646036</t>
  </si>
  <si>
    <t>CASA DE FAMILIA 2015 S.L</t>
  </si>
  <si>
    <t>FTS23/0002154</t>
  </si>
  <si>
    <t>B94202900</t>
  </si>
  <si>
    <t>FU DOU DOU GRAN AHORRO S.L</t>
  </si>
  <si>
    <t>FTS23/0002248</t>
  </si>
  <si>
    <r>
      <t>1295.39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客户：MCDOG MUSIC S.L 发票号:FTS23/0002036 已到账 支票已兑；</t>
    </r>
    <phoneticPr fontId="1" type="noConversion"/>
  </si>
  <si>
    <r>
      <t>1303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客户：CASA DE FAMILIA 2015 S.L 发票号:FTS23/0002154 已到账 支票已兑；</t>
    </r>
    <phoneticPr fontId="1" type="noConversion"/>
  </si>
  <si>
    <r>
      <t>336.06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客户：FU DOU DOU GRAN AHORRO S.L 发票号:FTS23/0002248 已到账 ；</t>
    </r>
    <phoneticPr fontId="1" type="noConversion"/>
  </si>
  <si>
    <t>FTS23/0002168</t>
  </si>
  <si>
    <t>FTS23/0002270</t>
  </si>
  <si>
    <t xml:space="preserve"> FTS23/0001965&amp;FTS23/0002260&amp;FTS23/0001689&amp;FTS23/0001944&amp;FTS23/0002255&amp;FTS23/0002299</t>
  </si>
  <si>
    <r>
      <t>5794.78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客户：STOCK IN SPAIN ELECTRONICS S.L 步步高 发票号:FTS23/0002168 已到账 支票已兑；</t>
    </r>
    <phoneticPr fontId="1" type="noConversion"/>
  </si>
  <si>
    <r>
      <t>679.2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客户：HUANLIANG YANG 发票号:FTS23/0002270 已到账 ；</t>
    </r>
    <phoneticPr fontId="1" type="noConversion"/>
  </si>
  <si>
    <r>
      <t>2993.4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客户：LITXU MEGAPARK S.L. 发票号: FTS23/0001965&amp;FTS23/0002260&amp;FTS23/0001689&amp;FTS23/0001944&amp;FTS23/0002255&amp;FTS23/0002299 已到账 ；</t>
    </r>
    <phoneticPr fontId="1" type="noConversion"/>
  </si>
  <si>
    <t>FT 23/0000373</t>
  </si>
  <si>
    <t>515828505</t>
  </si>
  <si>
    <t>HIPER CHINA LDA 许国栋</t>
  </si>
  <si>
    <t>FT 23/0000143</t>
  </si>
  <si>
    <t>523.17€ 客户：AURORA CELESTIAL UNIPESSOAL LDA 徐正益 发票号:FT 23/0000373 已到账 ；</t>
    <phoneticPr fontId="1" type="noConversion"/>
  </si>
  <si>
    <r>
      <t>2134.99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CHINA LDA 许国栋 发票号:FT 23/0000143 已到账 支票已兑；</t>
    </r>
    <phoneticPr fontId="1" type="noConversion"/>
  </si>
  <si>
    <t>FTS23/0002183&amp;FTS23/0002265</t>
  </si>
  <si>
    <t>发票未生成，核销待处理</t>
    <phoneticPr fontId="1" type="noConversion"/>
  </si>
  <si>
    <t>FTS23/0002228&amp;FTS23/0002303</t>
  </si>
  <si>
    <r>
      <t>195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客户：RACHIDA CHAABI 发票号: 已到账 发票未生成，核销待处理；</t>
    </r>
    <phoneticPr fontId="1" type="noConversion"/>
  </si>
  <si>
    <r>
      <t>1539.1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客户：XINXIN SHANGCHANG S.L 发票号:FTS23/0002183&amp;FTS23/0002265 已到账 ；</t>
    </r>
    <phoneticPr fontId="1" type="noConversion"/>
  </si>
  <si>
    <r>
      <t>831.15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LEGANES CENTRAL S.L 发票号:FTS23/0002228&amp;FTS23/0002303 已到账 ；</t>
    </r>
    <phoneticPr fontId="1" type="noConversion"/>
  </si>
  <si>
    <t xml:space="preserve"> FTS23/0001933至FTS23/0002050</t>
  </si>
  <si>
    <r>
      <t>988.97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客户：IUNTECH GALICIA S.L 齐力分公司 发票号: FTS23/0001933至FTS23/0002050 已到账 ；</t>
    </r>
    <phoneticPr fontId="1" type="noConversion"/>
  </si>
  <si>
    <t>233471405</t>
  </si>
  <si>
    <t>LIU HAIGUANG 刘海光</t>
  </si>
  <si>
    <t>FT 23/0000205</t>
  </si>
  <si>
    <r>
      <t>1566.38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客户：LIU HAIGUANG 刘海光 发票号:FT 23/0000205 已到账 ；</t>
    </r>
    <phoneticPr fontId="1" type="noConversion"/>
  </si>
  <si>
    <t>Y2714761Q</t>
  </si>
  <si>
    <t>MINGJIN LUO</t>
  </si>
  <si>
    <t>FTS23/0001864</t>
  </si>
  <si>
    <t>郭水文支票到账</t>
    <phoneticPr fontId="1" type="noConversion"/>
  </si>
  <si>
    <t>B87394425</t>
  </si>
  <si>
    <t>MAXICHINA SEXTO MADRID S.L</t>
  </si>
  <si>
    <t>FTS23/0001843&amp;FTS23/0001607</t>
  </si>
  <si>
    <t>FTS23/0001138|FTS23/0001375</t>
  </si>
  <si>
    <t>FTS23/0002219</t>
  </si>
  <si>
    <t>FTS23/0002220</t>
  </si>
  <si>
    <t>FTS23/0002245</t>
  </si>
  <si>
    <t xml:space="preserve"> FTS23/0001383</t>
  </si>
  <si>
    <t>FTS23/0001571</t>
  </si>
  <si>
    <r>
      <t>2588.82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客户：MINGJIN LUO 发票号:FTS23/0001864 已到账 ；</t>
    </r>
    <phoneticPr fontId="1" type="noConversion"/>
  </si>
  <si>
    <r>
      <t>1099.44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客户：HOME WEI 88 S.L 发票号:FTS23/0001571 已到账 郭水文支票到账；</t>
    </r>
    <phoneticPr fontId="1" type="noConversion"/>
  </si>
  <si>
    <r>
      <t>521.25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客户：MAXICHINA SEXTO MADRID S.L 发票号:FTS23/0001843&amp;FTS23/0001607 已到账 支票已兑；</t>
    </r>
    <phoneticPr fontId="1" type="noConversion"/>
  </si>
  <si>
    <r>
      <t>3595.62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FAMILIA 2016 S.L 永顺 发票号:FTS23/0001138|FTS23/0001375 已到账 支票已兑；</t>
    </r>
    <phoneticPr fontId="1" type="noConversion"/>
  </si>
  <si>
    <r>
      <t>215.99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客户：KUNFANG ZHU 发票号:FTS23/0002219 已到账 ；</t>
    </r>
    <phoneticPr fontId="1" type="noConversion"/>
  </si>
  <si>
    <r>
      <t>215.99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客户：KUNFANG ZHU 发票号:FTS23/0002220 已到账 ；</t>
    </r>
    <phoneticPr fontId="1" type="noConversion"/>
  </si>
  <si>
    <r>
      <t>1705.9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BAZAR FAMILIA S.L 发票号:FTS23/0002245 已到账 ；</t>
    </r>
    <phoneticPr fontId="1" type="noConversion"/>
  </si>
  <si>
    <r>
      <t>889.96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LAGUNA 2011 S.L 发票号: FTS23/0001383 已到账 支票已兑；</t>
    </r>
    <phoneticPr fontId="1" type="noConversion"/>
  </si>
  <si>
    <t>FTS23/0002318</t>
  </si>
  <si>
    <t>FTS23/0002234&amp;FTS23/0002293</t>
  </si>
  <si>
    <t>B57886137</t>
  </si>
  <si>
    <t>MIGO ISLA S.L</t>
  </si>
  <si>
    <t xml:space="preserve"> FTS23/0002105&amp;FTS23/0002040</t>
  </si>
  <si>
    <t>X6940152V</t>
  </si>
  <si>
    <t>XIAOLAN HE</t>
  </si>
  <si>
    <t>FTS23/0002311</t>
  </si>
  <si>
    <r>
      <t>306.77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MEDINA S.L 发票号:FTS23/0002318 已到账 ；</t>
    </r>
    <phoneticPr fontId="1" type="noConversion"/>
  </si>
  <si>
    <r>
      <t>357.01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客户：EL AZRAK MERJANI HAMZA 发票号:FTS23/0002234&amp;FTS23/0002293 已到账 ；</t>
    </r>
    <phoneticPr fontId="1" type="noConversion"/>
  </si>
  <si>
    <r>
      <t>3047.59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客户：MIGO ISLA S.L 发票号: FTS23/0002105&amp;FTS23/0002040 已到账 ；</t>
    </r>
    <phoneticPr fontId="1" type="noConversion"/>
  </si>
  <si>
    <r>
      <t>1852.05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客户：XIAOLAN HE 发票号:FTS23/0002311 已到账 ；</t>
    </r>
    <phoneticPr fontId="1" type="noConversion"/>
  </si>
  <si>
    <t>X4945956J</t>
  </si>
  <si>
    <t>GAOPING XU</t>
  </si>
  <si>
    <t>FTS23/0002322</t>
  </si>
  <si>
    <r>
      <t>1097.78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客户：GAOPING XU 发票号:FTS23/0002322 已到账 ；</t>
    </r>
    <phoneticPr fontId="1" type="noConversion"/>
  </si>
  <si>
    <t>FT 23/0000125&amp;NC 23/0000088&amp;FT 23/0000264&amp;NC 23/0000228&amp;NC 23/0000235&amp;NC 23/0000260&amp;NC 23/0000261</t>
  </si>
  <si>
    <t>221030859</t>
  </si>
  <si>
    <t>YUEBIN CHEN</t>
  </si>
  <si>
    <t>FT 23/0000079</t>
  </si>
  <si>
    <r>
      <t>1761.38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客户：TREVO SOBERANO LDA 发票号:FT 23/0000125&amp;NC 23/0000088&amp;FT 23/0000264&amp;NC 23/0000228&amp;NC 23/0000235&amp;NC 23/0000260&amp;NC 23/0000261 已到账 ；</t>
    </r>
    <phoneticPr fontId="1" type="noConversion"/>
  </si>
  <si>
    <r>
      <t>1101.07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客户：YUEBIN CHEN 发票号:FT 23/0000079 已到账 ；</t>
    </r>
    <phoneticPr fontId="1" type="noConversion"/>
  </si>
  <si>
    <t>51157557Z</t>
  </si>
  <si>
    <t>SHIYUE ZHOU HUANG</t>
  </si>
  <si>
    <t>FTS23/0002315&amp;FTS23/0002291&amp;FTS23/0002334&amp;FTS23/0002335</t>
  </si>
  <si>
    <t>B05495874</t>
  </si>
  <si>
    <t>MULTI CENTRO 1944 S.L 陈卫煌连锁</t>
  </si>
  <si>
    <t>FTS22/0000414</t>
  </si>
  <si>
    <t>收到3张支票的第1张</t>
  </si>
  <si>
    <r>
      <t>232.97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客户：SHIYUE ZHOU HUANG 发票号:FTS23/0002315&amp;FTS23/0002291&amp;FTS23/0002334&amp;FTS23/0002335 已到账 ；</t>
    </r>
    <phoneticPr fontId="1" type="noConversion"/>
  </si>
  <si>
    <r>
      <t>3920.6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客户：MULTI CENTRO 1944 S.L 陈卫煌连锁 发票号:FTS22/0000414 已到账 收到3张支票的第1张；</t>
    </r>
    <phoneticPr fontId="1" type="noConversion"/>
  </si>
  <si>
    <t>FT 23/0000192</t>
  </si>
  <si>
    <r>
      <t>789.25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客户：WEIYUE LIU 发票号:FT 23/0000192 已到账 ；</t>
    </r>
    <phoneticPr fontId="1" type="noConversion"/>
  </si>
  <si>
    <t>FTS23/0002229</t>
  </si>
  <si>
    <r>
      <t>464.99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客户：ZHU HUANHAI 发票号:FTS23/0002229 已到账 ；</t>
    </r>
    <phoneticPr fontId="1" type="noConversion"/>
  </si>
  <si>
    <t>FTS23/0002329</t>
  </si>
  <si>
    <t>FTS23/0002337</t>
  </si>
  <si>
    <r>
      <t>236.89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客户：LE WANG 发票号:FTS23/0002329 已到账 ；</t>
    </r>
    <phoneticPr fontId="1" type="noConversion"/>
  </si>
  <si>
    <r>
      <t>442.87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客户：MIAOQUN WU 发票号:FTS23/0002337 已到账 ；</t>
    </r>
    <phoneticPr fontId="1" type="noConversion"/>
  </si>
  <si>
    <t>516918699</t>
  </si>
  <si>
    <t>DRAGON CALENDAR LDA 刘正武</t>
  </si>
  <si>
    <t>FT 23/0000259|FT 23/0000325</t>
  </si>
  <si>
    <t>515615323</t>
  </si>
  <si>
    <t>LIANG WANG, UNIPESSOAL LDA</t>
  </si>
  <si>
    <t>FT 23/0000189|FT 23/0000049|NC 23/0000181|NC 23/0000082</t>
  </si>
  <si>
    <t>514887966</t>
  </si>
  <si>
    <t>TULIPA SURPRESA UNIPESSOAL LDA 尹海三</t>
  </si>
  <si>
    <t>FT 23/0000201</t>
  </si>
  <si>
    <t>FT 23/0000149NC 23/0000106</t>
  </si>
  <si>
    <t>FT 23/0000219NC 23/0000127</t>
  </si>
  <si>
    <t>FT 23/0000319NC 23/0000191|NC 23/0000226</t>
  </si>
  <si>
    <t>515025380</t>
  </si>
  <si>
    <t>DYNAMIC KANGAROO LDA 陈开来</t>
  </si>
  <si>
    <t>FT 23/0000212|FT 23/0000294NC 23/0000145|NC 23/0000144|NC 23/0000204</t>
  </si>
  <si>
    <r>
      <t>4235.8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客户：DRAGON CALENDAR LDA 刘正武 发票号:FT 23/0000259|FT 23/0000325 已到账 支票已兑；</t>
    </r>
    <phoneticPr fontId="1" type="noConversion"/>
  </si>
  <si>
    <r>
      <t>5904.27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客户：LIANG WANG, UNIPESSOAL LDA 发票号:FT 23/0000189|FT 23/0000049|NC 23/0000181|NC 23/0000082 已到账 支票已兑；</t>
    </r>
    <phoneticPr fontId="1" type="noConversion"/>
  </si>
  <si>
    <r>
      <t>1088.68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客户：TULIPA SURPRESA UNIPESSOAL LDA 尹海三 发票号:FT 23/0000201 已到账 支票已兑；</t>
    </r>
    <phoneticPr fontId="1" type="noConversion"/>
  </si>
  <si>
    <r>
      <t>2900.22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客户：HANHAN LDA 季恩云 发票号:FT 23/0000149NC 23/0000106 已到账 支票已兑；</t>
    </r>
    <phoneticPr fontId="1" type="noConversion"/>
  </si>
  <si>
    <r>
      <t>3074.97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客户：SUCCESSAGENDA LDA 郭正 发票号:FT 23/0000219NC 23/0000127 已到账 支票已兑；</t>
    </r>
    <phoneticPr fontId="1" type="noConversion"/>
  </si>
  <si>
    <r>
      <t>2620.86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客户：SUCCESSAGENDA LDA 郭正 发票号:FT 23/0000319NC 23/0000191|NC 23/0000226 已到账 支票已兑；</t>
    </r>
    <phoneticPr fontId="1" type="noConversion"/>
  </si>
  <si>
    <r>
      <t>1932.99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客户：DYNAMIC KANGAROO LDA 陈开来 发票号:FT 23/0000212|FT 23/0000294NC 23/0000145|NC 23/0000144|NC 23/0000204 已到账 支票已兑；</t>
    </r>
    <phoneticPr fontId="1" type="noConversion"/>
  </si>
  <si>
    <t>B67441618</t>
  </si>
  <si>
    <t>LEAF &amp; HOUSE S.L</t>
  </si>
  <si>
    <t xml:space="preserve"> FTS23/0001753</t>
  </si>
  <si>
    <r>
      <t>2390.57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客户：LEAF &amp; HOUSE S.L 发票号: FTS23/0001753 已到账 ；</t>
    </r>
    <phoneticPr fontId="1" type="noConversion"/>
  </si>
  <si>
    <t>FTS23/0002314</t>
  </si>
  <si>
    <r>
      <t>402.39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客户：XINQIANG ZHU 发票号:FTS23/0002314 已到账 ；</t>
    </r>
    <phoneticPr fontId="1" type="noConversion"/>
  </si>
  <si>
    <t>FTS23/0002357</t>
  </si>
  <si>
    <t>FTS23/0002336&amp;FTS23/0002231</t>
  </si>
  <si>
    <t>FTS23/0002345</t>
  </si>
  <si>
    <t>FTS23/0002262&amp;FTS23/0002256&amp;FTS23/0002361&amp;FTS23/0002362</t>
  </si>
  <si>
    <t>B67468389-4</t>
  </si>
  <si>
    <t xml:space="preserve"> FTS23/0002359</t>
  </si>
  <si>
    <r>
      <t>806.3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客户：NOU MAXI SARRIA DE TER S.L. 发票号:FTS23/0002357 已到账 ；</t>
    </r>
    <phoneticPr fontId="1" type="noConversion"/>
  </si>
  <si>
    <r>
      <t>555.76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客户：SENWEI WU 发票号:FTS23/0002336&amp;FTS23/0002231 已到账 ；</t>
    </r>
    <phoneticPr fontId="1" type="noConversion"/>
  </si>
  <si>
    <r>
      <t>308.25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客户：XIAOLAN HE 发票号:FTS23/0002345 已到账 ；</t>
    </r>
    <phoneticPr fontId="1" type="noConversion"/>
  </si>
  <si>
    <r>
      <t>415.38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客户：SUPERMERCADO FORTUNA 2016 S.L 发票号:FTS23/0002262&amp;FTS23/0002256&amp;FTS23/0002361&amp;FTS23/0002362 已到账 ；</t>
    </r>
    <phoneticPr fontId="1" type="noConversion"/>
  </si>
  <si>
    <r>
      <t>551.2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客户：COUSINESHOP 2019 S.L 发票号: FTS23/0002359 已到账 ；</t>
    </r>
    <phoneticPr fontId="1" type="noConversion"/>
  </si>
  <si>
    <t xml:space="preserve"> FTS23/0002356</t>
  </si>
  <si>
    <t>B86326774</t>
  </si>
  <si>
    <t>HIPER POZUELO S.L</t>
  </si>
  <si>
    <t>FTS23/0002301</t>
  </si>
  <si>
    <t>FTS23/0001720</t>
  </si>
  <si>
    <r>
      <t>437.8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客户：LINGWEI ZHANG 发票号: FTS23/0002356 已到账 ；</t>
    </r>
    <phoneticPr fontId="1" type="noConversion"/>
  </si>
  <si>
    <r>
      <t>1821.69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POZUELO S.L 发票号:FTS23/0002301 已到账 支票已兑；</t>
    </r>
    <phoneticPr fontId="1" type="noConversion"/>
  </si>
  <si>
    <r>
      <t>713.28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客户：CHOLLOS EL BARATO S.L 发票号:FTS23/0001720 已到账 支票已兑；</t>
    </r>
    <phoneticPr fontId="1" type="noConversion"/>
  </si>
  <si>
    <t>FT 23/0000392</t>
  </si>
  <si>
    <t>FT 23/0000395&amp;NC 23/0000207</t>
  </si>
  <si>
    <t>FT 23/0000235</t>
  </si>
  <si>
    <r>
      <t>887.6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客户：TREVO SOBERANO LDA 发票号:FT 23/0000392 已到账 ；</t>
    </r>
    <phoneticPr fontId="1" type="noConversion"/>
  </si>
  <si>
    <r>
      <t>219.02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客户：JINWEI ZHANG 发票号:FT 23/0000395&amp;NC 23/0000207 已到账 ；</t>
    </r>
    <phoneticPr fontId="1" type="noConversion"/>
  </si>
  <si>
    <r>
      <t>1720.16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客户：IMPORTANCIA SIMPATICA UNIPESSOAL LDA 刘荣女儿店 发票号:FT 23/0000235 已到账 ；</t>
    </r>
    <phoneticPr fontId="1" type="noConversion"/>
  </si>
  <si>
    <t>FT 23/0000393&amp;FT 23/0000234&amp;NC 23/00000657&amp;NC 23/0000062&amp;NC 23/0000030</t>
  </si>
  <si>
    <r>
      <t>1030.65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客户：AURORA CELESTIAL UNIPESSOAL LDA 徐正益 发票号:FT 23/0000393&amp;FT 23/0000234&amp;NC 23/00000657&amp;NC 23/0000062&amp;NC 23/0000030 已到账 ；</t>
    </r>
    <phoneticPr fontId="1" type="noConversion"/>
  </si>
  <si>
    <t>FTS23/0002371&amp;FTS23/0002368</t>
  </si>
  <si>
    <t>B47632096</t>
  </si>
  <si>
    <t>WAN SHI LI S.L</t>
  </si>
  <si>
    <t>FTS23/0002346&amp;FTS23/0002366</t>
    <phoneticPr fontId="1" type="noConversion"/>
  </si>
  <si>
    <r>
      <t>385.15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客户：CHAOQUN DU 发票号:FTS23/0002371&amp;FTS23/0002368 已到账 ；</t>
    </r>
    <phoneticPr fontId="1" type="noConversion"/>
  </si>
  <si>
    <r>
      <t>611.03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客户：WAN SHI LI S.L 发票号:FTS23/0002346&amp;FTS23/0002366 已到账 ；</t>
    </r>
    <phoneticPr fontId="1" type="noConversion"/>
  </si>
  <si>
    <t xml:space="preserve"> FTS23/0002365</t>
  </si>
  <si>
    <t>FTS23/0002225</t>
  </si>
  <si>
    <t>B67281097</t>
  </si>
  <si>
    <t>2018 MINDEST S.L</t>
  </si>
  <si>
    <t>FTS23/0002045</t>
  </si>
  <si>
    <t>FTS23/0002324</t>
  </si>
  <si>
    <t xml:space="preserve"> FTS23/0002323</t>
  </si>
  <si>
    <r>
      <t>1078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客户：MI BAZAR S.L 王晓雪 发票号: FTS23/0002365 已到账 ；</t>
    </r>
    <phoneticPr fontId="1" type="noConversion"/>
  </si>
  <si>
    <r>
      <t>4896.59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客户：WE PHONE 2016 S.L 威锋电子 发票号:FTS23/0002225 已到账 ；</t>
    </r>
    <phoneticPr fontId="1" type="noConversion"/>
  </si>
  <si>
    <r>
      <t>2941.75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客户：2018 MINDEST S.L 发票号:FTS23/0002045 已到账 ；</t>
    </r>
    <phoneticPr fontId="1" type="noConversion"/>
  </si>
  <si>
    <r>
      <t>657.72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客户：JIEZHONG XU 发票号:FTS23/0002324 已到账 ；</t>
    </r>
    <phoneticPr fontId="1" type="noConversion"/>
  </si>
  <si>
    <r>
      <t>591.9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客户：NHAFKRA 050 S.L 发票号: FTS23/0002323 已到账 ；</t>
    </r>
    <phoneticPr fontId="1" type="noConversion"/>
  </si>
  <si>
    <t>FTS23/0002385</t>
  </si>
  <si>
    <t>FTS23/0002204&amp;FTS23/0002238</t>
  </si>
  <si>
    <r>
      <t>1506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客户：COUSINESHOP 2019 S.L 发票号:FTS23/0002385 已到账 ；</t>
    </r>
    <phoneticPr fontId="1" type="noConversion"/>
  </si>
  <si>
    <r>
      <t>1065.01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客户：PROPICIO 168 S.L 发票号:FTS23/0002204&amp;FTS23/0002238 已到账 ；</t>
    </r>
    <phoneticPr fontId="1" type="noConversion"/>
  </si>
  <si>
    <t>B09813403</t>
  </si>
  <si>
    <t>ZHONGZHONG2022 S.L</t>
  </si>
  <si>
    <t>FTS23/0001423</t>
  </si>
  <si>
    <t>FTS23/0002372</t>
  </si>
  <si>
    <t>B67822973</t>
  </si>
  <si>
    <t>FTS23/0002374</t>
  </si>
  <si>
    <t>HIPER BASAR 2021 S.L</t>
  </si>
  <si>
    <t>FTS23/0002173</t>
  </si>
  <si>
    <r>
      <t>1270.8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客户：ZHONGZHONG2022 S.L 发票号:FTS23/0001423 已到账 支票已兑；</t>
    </r>
    <phoneticPr fontId="1" type="noConversion"/>
  </si>
  <si>
    <r>
      <t>860.15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客户：MERCA VALL 2022 S.L. 发票号:FTS23/0002372 已到账 ；</t>
    </r>
    <phoneticPr fontId="1" type="noConversion"/>
  </si>
  <si>
    <r>
      <t>1034.95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BASAR 2021 S.L 发票号:FTS23/0002374 已到账 ；</t>
    </r>
    <phoneticPr fontId="1" type="noConversion"/>
  </si>
  <si>
    <r>
      <t>7000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客户：STOCK IN SPAIN ELECTRONICS S.L 步步高 发票号:FTS23/0002173 已到账 支票已兑；</t>
    </r>
    <phoneticPr fontId="1" type="noConversion"/>
  </si>
  <si>
    <t>X7202678K</t>
  </si>
  <si>
    <t>YISI JIANG</t>
  </si>
  <si>
    <t>FTS23/0002392</t>
  </si>
  <si>
    <r>
      <t>273.02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客户：YISI JIANG 发票号:FTS23/0002392 已到账 ；</t>
    </r>
    <phoneticPr fontId="1" type="noConversion"/>
  </si>
  <si>
    <t>FTS23/0002390&amp;FTS23/0002395</t>
  </si>
  <si>
    <t>FTS23/0002123</t>
  </si>
  <si>
    <r>
      <t>544.01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客户：LUOJUN WANG 发票号:FTS23/0002390&amp;FTS23/0002395 已到账 ；</t>
    </r>
    <phoneticPr fontId="1" type="noConversion"/>
  </si>
  <si>
    <r>
      <t>3036.75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客户：MADE IN CHINA 2022 S.L 米克 发票号:FTS23/0002123 已到账 ；</t>
    </r>
    <phoneticPr fontId="1" type="noConversion"/>
  </si>
  <si>
    <t>B10851467</t>
  </si>
  <si>
    <t>CASA FLYING CRANE S.L</t>
  </si>
  <si>
    <t>FTS23/0002389</t>
  </si>
  <si>
    <r>
      <t>156.75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客户：CASA FLYING CRANE S.L 发票号:FTS23/0002389 已到账 ；</t>
    </r>
    <phoneticPr fontId="1" type="noConversion"/>
  </si>
  <si>
    <t>X9662166G</t>
  </si>
  <si>
    <t>PROMA SABIA AKTHER</t>
  </si>
  <si>
    <t>FTS23/0002317</t>
  </si>
  <si>
    <t>SEUR托收</t>
    <phoneticPr fontId="1" type="noConversion"/>
  </si>
  <si>
    <t>418.96€ 客户：PROMA SABIA AKTHER 发票号:FTS23/0002317 已到账 SEUR托收；</t>
    <phoneticPr fontId="1" type="noConversion"/>
  </si>
  <si>
    <t>X7869407A</t>
  </si>
  <si>
    <t>KECHU LIN</t>
  </si>
  <si>
    <t>FTS23/0002343</t>
  </si>
  <si>
    <r>
      <t>293.92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客户：KECHU LIN 发票号:FTS23/0002343 已到账 SEUR托收；</t>
    </r>
    <phoneticPr fontId="1" type="noConversion"/>
  </si>
  <si>
    <t>X2807340Y</t>
  </si>
  <si>
    <t xml:space="preserve">YI SHE </t>
  </si>
  <si>
    <t>FTS23/0002369</t>
  </si>
  <si>
    <t>FTS23/0002411</t>
  </si>
  <si>
    <r>
      <t>532.42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客户：YI SHE  发票号:FTS23/0002369 已到账 ；</t>
    </r>
    <phoneticPr fontId="1" type="noConversion"/>
  </si>
  <si>
    <r>
      <t>608.47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客户：JUNJUN JIN 发票号:FTS23/0002411 已到账 ；</t>
    </r>
    <phoneticPr fontId="1" type="noConversion"/>
  </si>
  <si>
    <t xml:space="preserve"> FTS23/0002417&amp;FTS23/0002209&amp;FTS23/0002391&amp;FTS23/0002428</t>
  </si>
  <si>
    <r>
      <t>454.6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客户：XINGFA 2021 S.L 发票号: FTS23/0002417&amp;FTS23/0002209&amp;FTS23/0002391&amp;FTS23/0002428 已到账 ；</t>
    </r>
    <phoneticPr fontId="1" type="noConversion"/>
  </si>
  <si>
    <t>514856017</t>
  </si>
  <si>
    <t>DIMENSAO JUBILANTE LDA 阿燕</t>
  </si>
  <si>
    <t>FT 23/0000172</t>
  </si>
  <si>
    <r>
      <t>1708.87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客户：DIMENSAO JUBILANTE LDA 阿燕 发票号:FT 23/0000172 已到账 ；</t>
    </r>
    <phoneticPr fontId="1" type="noConversion"/>
  </si>
  <si>
    <t>FTS23/0002249&amp;FTS23/0001674&amp;FTS23/0001848</t>
  </si>
  <si>
    <t>X2700158G</t>
  </si>
  <si>
    <t>YONGWEI CHEN</t>
  </si>
  <si>
    <t xml:space="preserve"> FTS23/0001777</t>
  </si>
  <si>
    <r>
      <t>882.88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客户：AMITOFORTUNA S.L 发票号:FTS23/0002249&amp;FTS23/0001674&amp;FTS23/0001848 已到账 支票已兑；</t>
    </r>
    <phoneticPr fontId="1" type="noConversion"/>
  </si>
  <si>
    <r>
      <t>2098.73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客户：YONGWEI CHEN 发票号: FTS23/0001777 已到账 支票已兑；</t>
    </r>
    <phoneticPr fontId="1" type="noConversion"/>
  </si>
  <si>
    <t>B01561802</t>
  </si>
  <si>
    <t>FU DA 2017 S.L</t>
  </si>
  <si>
    <t>FTS23/0002388&amp;FTS23/0001649&amp;FTS23/0002451</t>
  </si>
  <si>
    <t>B13971601</t>
  </si>
  <si>
    <t>VTTARTICULOS SL.</t>
  </si>
  <si>
    <t>FTS23/0002338</t>
  </si>
  <si>
    <r>
      <t>707.12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客户：FU DA 2017 S.L 发票号:FTS23/0002388&amp;FTS23/0001649&amp;FTS23/0002451 已到账 SEUR托收；</t>
    </r>
    <phoneticPr fontId="1" type="noConversion"/>
  </si>
  <si>
    <r>
      <t>496.33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客户：VTTARTICULOS SL. 发票号:FTS23/0002338 已到账 ；</t>
    </r>
    <phoneticPr fontId="1" type="noConversion"/>
  </si>
  <si>
    <t>B88519061</t>
  </si>
  <si>
    <t>GRAN BAZAR PLAZA CHINA S.L</t>
  </si>
  <si>
    <t>FTS23/0000633</t>
  </si>
  <si>
    <t>B70594585</t>
  </si>
  <si>
    <t>RIANXO CITY S.L</t>
  </si>
  <si>
    <t>FTS23/0002433</t>
  </si>
  <si>
    <t>B04976270</t>
  </si>
  <si>
    <t>COMERCIO ASIA ZHOU S.L</t>
  </si>
  <si>
    <t>FTS23/0001890&amp;FTS23/0001891</t>
  </si>
  <si>
    <t>FTS23/0002422&amp;FTS23/0002426&amp;FTS23/0002370</t>
  </si>
  <si>
    <t>X6021221M</t>
  </si>
  <si>
    <t>HAO RAO</t>
  </si>
  <si>
    <t>FTS23/0001837</t>
  </si>
  <si>
    <r>
      <t>2747.56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客户：GRAN BAZAR PLAZA CHINA S.L 发票号:FTS23/0000633 已到账 ；</t>
    </r>
    <phoneticPr fontId="1" type="noConversion"/>
  </si>
  <si>
    <r>
      <t>268.04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客户：RIANXO CITY S.L 发票号:FTS23/0002433 已到账 ；</t>
    </r>
    <phoneticPr fontId="1" type="noConversion"/>
  </si>
  <si>
    <r>
      <t>1310.2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客户：COMERCIO ASIA ZHOU S.L 发票号:FTS23/0001890&amp;FTS23/0001891 已到账 支票已兑；</t>
    </r>
    <phoneticPr fontId="1" type="noConversion"/>
  </si>
  <si>
    <r>
      <t>1961.62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客户：XIAOJUN CHEN 发票号:FTS23/0002422&amp;FTS23/0002426&amp;FTS23/0002370 已到账 ；</t>
    </r>
    <phoneticPr fontId="1" type="noConversion"/>
  </si>
  <si>
    <r>
      <t>3462.35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客户：HAO RAO 发票号:FTS23/0001837 已到账 ；</t>
    </r>
    <phoneticPr fontId="1" type="noConversion"/>
  </si>
  <si>
    <t>514777796</t>
  </si>
  <si>
    <t>SPRING PRINCESS LDA 叶伟晓 新店</t>
  </si>
  <si>
    <t>FT 23/0000184</t>
  </si>
  <si>
    <r>
      <t>1727.9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客户：SPRING PRINCESS LDA 叶伟晓 新店 发票号:FT 23/0000184 已到账 ；</t>
    </r>
    <phoneticPr fontId="1" type="noConversion"/>
  </si>
  <si>
    <t>E57168213</t>
  </si>
  <si>
    <t>UNION DU-ZHAN C.B</t>
  </si>
  <si>
    <t>FTS23/0002008</t>
  </si>
  <si>
    <t>FTS23/0002442&amp;FTS23/0002210</t>
  </si>
  <si>
    <t>B01823368</t>
  </si>
  <si>
    <t>BAT-BI INFORMATIKA S.L</t>
  </si>
  <si>
    <t xml:space="preserve"> FTS23/0002465</t>
  </si>
  <si>
    <t>X9433375V</t>
  </si>
  <si>
    <t>JIANWEI XIA</t>
  </si>
  <si>
    <t>FTS23/0002403&amp;FTS23/0001200&amp;FTS23/0000979&amp;FTS23/0002467</t>
  </si>
  <si>
    <t>B96798657</t>
  </si>
  <si>
    <t>COVALPETROL S.L.</t>
  </si>
  <si>
    <t>FTS23/0002447</t>
  </si>
  <si>
    <r>
      <t>922.46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客户：UNION DU-ZHAN C.B 发票号:FTS23/0002008 已到账 ；</t>
    </r>
    <phoneticPr fontId="1" type="noConversion"/>
  </si>
  <si>
    <r>
      <t>958.46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客户：BASAR LLUIS COMPANYS S.L 发票号:FTS23/0002442&amp;FTS23/0002210 已到账 ；</t>
    </r>
    <phoneticPr fontId="1" type="noConversion"/>
  </si>
  <si>
    <r>
      <t>457.24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客户：BAT-BI INFORMATIKA S.L 发票号: FTS23/0002465 已到账 ；</t>
    </r>
    <phoneticPr fontId="1" type="noConversion"/>
  </si>
  <si>
    <r>
      <t>566.67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客户：JIANWEI XIA 发票号:FTS23/0002403&amp;FTS23/0001200&amp;FTS23/0000979&amp;FTS23/0002467 已到账 ；</t>
    </r>
    <phoneticPr fontId="1" type="noConversion"/>
  </si>
  <si>
    <r>
      <t>883.8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客户：COVALPETROL S.L. 发票号:FTS23/0002447 已到账 ；</t>
    </r>
    <phoneticPr fontId="1" type="noConversion"/>
  </si>
  <si>
    <t>FT 23/0000407&amp;NC 23/0000121</t>
  </si>
  <si>
    <r>
      <t>506.52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客户：SUQUAN XU 徐苏权 发票号:FT 23/0000407&amp;NC 23/0000121 已到账 ；</t>
    </r>
    <phoneticPr fontId="1" type="noConversion"/>
  </si>
  <si>
    <t>FT 23/0000410</t>
  </si>
  <si>
    <r>
      <t>1030.27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客户：HAOYUNLAI LDA 发票号:FT 23/0000410 已到账 ；</t>
    </r>
    <phoneticPr fontId="1" type="noConversion"/>
  </si>
  <si>
    <t>FTS23/0002456</t>
  </si>
  <si>
    <t xml:space="preserve"> FTS23/0001657</t>
  </si>
  <si>
    <r>
      <t>590.85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客户：SENWEI WU 发票号:FTS23/0002456 已到账 ；</t>
    </r>
    <phoneticPr fontId="1" type="noConversion"/>
  </si>
  <si>
    <r>
      <t>2190.42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客户：COUSINESHOP 2019 S.L 发票号: FTS23/0001657 已到账 ；</t>
    </r>
    <phoneticPr fontId="1" type="noConversion"/>
  </si>
  <si>
    <t>FT 23/0000349</t>
  </si>
  <si>
    <t>247463272</t>
  </si>
  <si>
    <t>XIAOQIU LU 杜圣其</t>
  </si>
  <si>
    <t>FT 23/0000335</t>
  </si>
  <si>
    <r>
      <t>701.59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客户：XU ZHENG 郑旭 发票号:FT 23/0000349 已到账 ；</t>
    </r>
    <phoneticPr fontId="1" type="noConversion"/>
  </si>
  <si>
    <r>
      <t>976.26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客户：XIAOQIU LU 杜圣其 发票号:FT 23/0000335 已到账 ；</t>
    </r>
    <phoneticPr fontId="1" type="noConversion"/>
  </si>
  <si>
    <t>FTS23/0002174</t>
  </si>
  <si>
    <t>J22393557</t>
  </si>
  <si>
    <t>BAZAR CHINO BARBASTRO S.C</t>
  </si>
  <si>
    <t>FTS23/0002458</t>
  </si>
  <si>
    <t>FTS23/0002454</t>
  </si>
  <si>
    <t>B76784354</t>
  </si>
  <si>
    <t>EL MEJOR HOGAR Y MODA S.L</t>
  </si>
  <si>
    <t xml:space="preserve"> FTS23/0001816&amp;FTS23/0001484</t>
  </si>
  <si>
    <t>FTS23/0001484</t>
  </si>
  <si>
    <t>FTS23/0002049&amp;FTS23/0002035</t>
  </si>
  <si>
    <t>X2179506A</t>
  </si>
  <si>
    <t>PAN MINPING</t>
  </si>
  <si>
    <t>FTS23/0002438</t>
  </si>
  <si>
    <t xml:space="preserve"> FTS23/0002421</t>
  </si>
  <si>
    <t>FTS23/0002445</t>
  </si>
  <si>
    <r>
      <t>5981.12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客户：STOCK IN SPAIN ELECTRONICS S.L 步步高 发票号:FTS23/0002174 已到账 支票已兑；</t>
    </r>
    <phoneticPr fontId="1" type="noConversion"/>
  </si>
  <si>
    <r>
      <t>420.4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CHINO BARBASTRO S.C 发票号:FTS23/0002458 已到账 ；</t>
    </r>
    <phoneticPr fontId="1" type="noConversion"/>
  </si>
  <si>
    <r>
      <t>266.22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客户：LEI YE 发票号:FTS23/0002454 已到账 ；</t>
    </r>
    <phoneticPr fontId="1" type="noConversion"/>
  </si>
  <si>
    <r>
      <t>2992.78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客户：EL MEJOR HOGAR Y MODA S.L 发票号: FTS23/0001816&amp;FTS23/0001484 已到账 ；</t>
    </r>
    <phoneticPr fontId="1" type="noConversion"/>
  </si>
  <si>
    <r>
      <t>2819.58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客户：EL MEJOR HOGAR Y MODA S.L 发票号:FTS23/0001484 已到账 ；</t>
    </r>
    <phoneticPr fontId="1" type="noConversion"/>
  </si>
  <si>
    <r>
      <t>619.84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客户：SISI LIU 发票号:FTS23/0002049&amp;FTS23/0002035 已到账 ；</t>
    </r>
    <phoneticPr fontId="1" type="noConversion"/>
  </si>
  <si>
    <r>
      <t>626.3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客户：PAN MINPING 发票号:FTS23/0002438 已到账 ；</t>
    </r>
    <phoneticPr fontId="1" type="noConversion"/>
  </si>
  <si>
    <r>
      <t>696.6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客户：JIANZHONG YING 发票号: FTS23/0002421 已到账 ；</t>
    </r>
    <phoneticPr fontId="1" type="noConversion"/>
  </si>
  <si>
    <r>
      <t>556.06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客户：FU LIN 发票号:FTS23/0002445 已到账 ；</t>
    </r>
    <phoneticPr fontId="1" type="noConversion"/>
  </si>
  <si>
    <t>B54801154</t>
  </si>
  <si>
    <t>ALBOX-2014 S.L</t>
  </si>
  <si>
    <t>FTS23/0001996</t>
  </si>
  <si>
    <r>
      <t>1143.59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客户：ALBOX-2014 S.L 发票号:FTS23/0001996 已到账 ；</t>
    </r>
    <phoneticPr fontId="1" type="noConversion"/>
  </si>
  <si>
    <t>B67860122</t>
  </si>
  <si>
    <t>AC-PLAZA FORTUNA S.L</t>
  </si>
  <si>
    <t>FTS23/0002034&amp;FTS23/0002436</t>
  </si>
  <si>
    <t>FTS23/0002444</t>
  </si>
  <si>
    <t>B05374772</t>
  </si>
  <si>
    <t>HIPER VILLARROBLEDO S.L.</t>
  </si>
  <si>
    <t>FTS23/0002488</t>
  </si>
  <si>
    <t>FTS23/0002416</t>
  </si>
  <si>
    <t>SEUR托收</t>
  </si>
  <si>
    <t>FTS23/0002449&amp;FTS23/0002431</t>
  </si>
  <si>
    <r>
      <t>1475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客户：AC-PLAZA FORTUNA S.L 发票号:FTS23/0002034&amp;FTS23/0002436 已到账 ；</t>
    </r>
    <phoneticPr fontId="1" type="noConversion"/>
  </si>
  <si>
    <r>
      <t>976.7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客户：MARKET FAMILY XU S.L 发票号:FTS23/0002444 已到账 ；</t>
    </r>
    <phoneticPr fontId="1" type="noConversion"/>
  </si>
  <si>
    <r>
      <t>1910.29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VILLARROBLEDO S.L. 发票号:FTS23/0002488 已到账 ；</t>
    </r>
    <phoneticPr fontId="1" type="noConversion"/>
  </si>
  <si>
    <r>
      <t>296.01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客户：CORTECHINO JJZ S.L 发票号:FTS23/0002416 已到账 SEUR托收；</t>
    </r>
    <phoneticPr fontId="1" type="noConversion"/>
  </si>
  <si>
    <r>
      <t>318.43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客户：EURO BAZAR JIN S.L 发票号:FTS23/0002449&amp;FTS23/0002431 已到账 SEUR托收；</t>
    </r>
    <phoneticPr fontId="1" type="noConversion"/>
  </si>
  <si>
    <t>B02883767</t>
  </si>
  <si>
    <t>KARAMBOLA 888 S.L.U</t>
  </si>
  <si>
    <t>FTS23/0001906&amp;FTS23/0002257&amp;FTS23/0001914</t>
  </si>
  <si>
    <r>
      <t>1763.26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客户：KARAMBOLA 888 S.L.U 发票号:FTS23/0001906&amp;FTS23/0002257&amp;FTS23/0001914 已到账 支票已兑；</t>
    </r>
    <phoneticPr fontId="1" type="noConversion"/>
  </si>
  <si>
    <t>FT 23/0000346&amp;NC 23/0000179</t>
  </si>
  <si>
    <r>
      <t>1168.18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客户：SHUANGYAN HUANG 黄双燕 发票号:FT 23/0000346&amp;NC 23/0000179 已到账 ；</t>
    </r>
    <phoneticPr fontId="1" type="noConversion"/>
  </si>
  <si>
    <t>Y0465889S</t>
  </si>
  <si>
    <t>LIGUANG GUO</t>
  </si>
  <si>
    <t>FTS23/0001257&amp;FTS23/0002503</t>
  </si>
  <si>
    <t>FTS23/0002474</t>
  </si>
  <si>
    <r>
      <t>457.53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客户：LIGUANG GUO 发票号:FTS23/0001257&amp;FTS23/0002503 已到账 ；</t>
    </r>
    <phoneticPr fontId="1" type="noConversion"/>
  </si>
  <si>
    <r>
      <t>416.16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客户：SONGWEI YANG 发票号:FTS23/0002474 已到账 ；</t>
    </r>
    <phoneticPr fontId="1" type="noConversion"/>
  </si>
  <si>
    <t>FT 23/0000404&amp;FT 23/0000403</t>
  </si>
  <si>
    <r>
      <t>1493.41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客户：LIWEI JIANG 发票号:FT 23/0000404&amp;FT 23/0000403 已到账 ；</t>
    </r>
    <phoneticPr fontId="1" type="noConversion"/>
  </si>
  <si>
    <t>X3822589N</t>
  </si>
  <si>
    <t>JUNLI YE</t>
  </si>
  <si>
    <t>FTS23/0002419</t>
  </si>
  <si>
    <r>
      <t>1301.51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客户：JUNLI YE 发票号:FTS23/0002419 已到账 ；</t>
    </r>
    <phoneticPr fontId="1" type="noConversion"/>
  </si>
  <si>
    <t>B38999108</t>
  </si>
  <si>
    <t>MULTICENTRO CHEN S.L</t>
  </si>
  <si>
    <t>FTS23/0001947</t>
  </si>
  <si>
    <r>
      <t>1689.2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客户：MULTICENTRO CHEN S.L 发票号:FTS23/0001947 已到账 ；</t>
    </r>
    <phoneticPr fontId="1" type="noConversion"/>
  </si>
  <si>
    <t>FTS23/0002404&amp;FTS23/0002376&amp;FTS23/0002376</t>
  </si>
  <si>
    <t>FTS23/0002349</t>
  </si>
  <si>
    <t>B01694579</t>
  </si>
  <si>
    <t>W2M CORPORATE S.L</t>
  </si>
  <si>
    <t>FTS23/0002483</t>
  </si>
  <si>
    <r>
      <t>1106.44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客户：MUNDOMAXI SL 发票号:FTS23/0002404&amp;FTS23/0002376&amp;FTS23/0002376 已到账 ；</t>
    </r>
    <phoneticPr fontId="1" type="noConversion"/>
  </si>
  <si>
    <r>
      <t>431.11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客户：HONGQIN WEI 发票号:FTS23/0002349 已到账 ；</t>
    </r>
    <phoneticPr fontId="1" type="noConversion"/>
  </si>
  <si>
    <r>
      <t>222.99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客户：W2M CORPORATE S.L 发票号:FTS23/0002483 已到账 ；</t>
    </r>
    <phoneticPr fontId="1" type="noConversion"/>
  </si>
  <si>
    <t xml:space="preserve"> FTS23/0002099</t>
  </si>
  <si>
    <r>
      <t>1821.75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客户：RED COOL S.L 发票号: FTS23/0002099 已到账 支票已兑；</t>
    </r>
    <phoneticPr fontId="1" type="noConversion"/>
  </si>
  <si>
    <t>FTS23/0002081&amp;FTS23/0002120&amp;FTS23/0002180&amp;FTS23/0002181</t>
  </si>
  <si>
    <t>FTS23/0002518&amp;FTS23/0002502</t>
  </si>
  <si>
    <t>FTS23/0002397</t>
  </si>
  <si>
    <t>FTS23/0002206</t>
  </si>
  <si>
    <r>
      <t>357.54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客户：IUNTECH GALICIA S.L 齐力分公司 发票号:FTS23/0002081&amp;FTS23/0002120&amp;FTS23/0002180&amp;FTS23/0002181 已到账 ；</t>
    </r>
    <phoneticPr fontId="1" type="noConversion"/>
  </si>
  <si>
    <r>
      <t>994.69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客户：ZHONGJIE CHENG 发票号:FTS23/0002518&amp;FTS23/0002502 已到账 ；</t>
    </r>
    <phoneticPr fontId="1" type="noConversion"/>
  </si>
  <si>
    <r>
      <t>541.65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客户：CHENGXIN ZHANG 发票号:FTS23/0002397 已到账 ；</t>
    </r>
    <phoneticPr fontId="1" type="noConversion"/>
  </si>
  <si>
    <r>
      <t>783.4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客户：CHENGXIN ZHANG 发票号:FTS23/0002206 已到账 ；</t>
    </r>
    <phoneticPr fontId="1" type="noConversion"/>
  </si>
  <si>
    <t>FTS23/0002519</t>
  </si>
  <si>
    <t>B76185347</t>
  </si>
  <si>
    <t>ASIA NUMERO 1 S.L</t>
  </si>
  <si>
    <t>FTS23/0001192&amp;FTS23/0001612&amp;FTS23/0001653&amp;FTS23/0002553&amp;FTS23/0002552</t>
  </si>
  <si>
    <t>B01918168</t>
  </si>
  <si>
    <t>NUSINTE,SOCIEDAD LIMITADA</t>
  </si>
  <si>
    <t>FTS23/0002533</t>
  </si>
  <si>
    <t xml:space="preserve"> FTS23/0002498</t>
  </si>
  <si>
    <r>
      <t>644.93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客户：MANBAR DECORA S.L 发票号:FTS23/0002519 已到账 ；</t>
    </r>
    <phoneticPr fontId="1" type="noConversion"/>
  </si>
  <si>
    <r>
      <t>3001.01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客户：ASIA NUMERO 1 S.L 发票号:FTS23/0001192&amp;FTS23/0001612&amp;FTS23/0001653&amp;FTS23/0002553&amp;FTS23/0002552 已到账 ；</t>
    </r>
    <phoneticPr fontId="1" type="noConversion"/>
  </si>
  <si>
    <r>
      <t>3419.2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客户：NUSINTE,SOCIEDAD LIMITADA 发票号:FTS23/0002533 已到账 ；</t>
    </r>
    <phoneticPr fontId="1" type="noConversion"/>
  </si>
  <si>
    <r>
      <t>501.41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客户：CHAOQUN DU 发票号: FTS23/0002498 已到账 ；</t>
    </r>
    <phoneticPr fontId="1" type="noConversion"/>
  </si>
  <si>
    <t>FT 23/0000413</t>
  </si>
  <si>
    <r>
      <t>896.72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客户：NEWAX UNIVERSAL TRADE UNIPESSOAL LDA 杨建华 发票号:FT 23/0000413 已到账 ；</t>
    </r>
    <phoneticPr fontId="1" type="noConversion"/>
  </si>
  <si>
    <t>FTS23/0002513</t>
  </si>
  <si>
    <t>B67468389-3</t>
  </si>
  <si>
    <t>FTS23/0001752</t>
  </si>
  <si>
    <t>FTS23/0002520</t>
  </si>
  <si>
    <t>FTS23/0002523</t>
  </si>
  <si>
    <t>X3914790Y</t>
  </si>
  <si>
    <t>SHAOXING CHEN</t>
  </si>
  <si>
    <t>FTS23/0002544</t>
  </si>
  <si>
    <t>FTS23/0002527</t>
  </si>
  <si>
    <r>
      <t>546.12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客户：JUNJUN JIN 发票号:FTS23/0002513 已到账 ；</t>
    </r>
    <phoneticPr fontId="1" type="noConversion"/>
  </si>
  <si>
    <r>
      <t>2605.19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客户：COUSINESHOP 2019 S.L 发票号:FTS23/0001752 已到账 ；</t>
    </r>
    <phoneticPr fontId="1" type="noConversion"/>
  </si>
  <si>
    <r>
      <t>1992.7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客户：JIA SHUN HE XIANG S.L 发票号:FTS23/0002520 已到账 ；</t>
    </r>
    <phoneticPr fontId="1" type="noConversion"/>
  </si>
  <si>
    <r>
      <t>710.1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客户：LIYONG SHAN 发票号:FTS23/0002523 已到账 ；</t>
    </r>
    <phoneticPr fontId="1" type="noConversion"/>
  </si>
  <si>
    <r>
      <t>139.91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客户：SHAOXING CHEN 发票号:FTS23/0002544 已到账 ；</t>
    </r>
    <phoneticPr fontId="1" type="noConversion"/>
  </si>
  <si>
    <r>
      <t>1071.15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客户：ASIAN GARDEN SECRET S.L 发票号:FTS23/0002527 已到账 ；</t>
    </r>
    <phoneticPr fontId="1" type="noConversion"/>
  </si>
  <si>
    <t>FTS23/0001817</t>
  </si>
  <si>
    <t>FTS23/0002562</t>
  </si>
  <si>
    <t>FTS23/0002560</t>
  </si>
  <si>
    <t>B67383083</t>
  </si>
  <si>
    <t>VIRTUE UCCA S.L</t>
  </si>
  <si>
    <t>FTS23/0001997&amp;FTS23/0002559</t>
  </si>
  <si>
    <t>FTS23/0002030&amp;FTS23/0002494&amp;FTS23/0002510</t>
  </si>
  <si>
    <r>
      <t>2246.63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客户：COUSINESHOP 2019 S.L 发票号:FTS23/0001817 已到账 ；</t>
    </r>
    <phoneticPr fontId="1" type="noConversion"/>
  </si>
  <si>
    <r>
      <t>2827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客户：CASH HOGAR CANARIAS S.L 发票号:FTS23/0002562 已到账 ；</t>
    </r>
    <phoneticPr fontId="1" type="noConversion"/>
  </si>
  <si>
    <r>
      <t>1054.3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客户：NOU MAXI SARRIA DE TER S.L. 发票号:FTS23/0002560 已到账 支票已兑；</t>
    </r>
    <phoneticPr fontId="1" type="noConversion"/>
  </si>
  <si>
    <r>
      <t>668.87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客户：VIRTUE UCCA S.L 发票号:FTS23/0001997&amp;FTS23/0002559 已到账 支票已兑；</t>
    </r>
    <phoneticPr fontId="1" type="noConversion"/>
  </si>
  <si>
    <r>
      <t>288.79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客户：COMERCIALIZACIONES DIAMANTE S.L 发票号:FTS23/0002030&amp;FTS23/0002494&amp;FTS23/0002510 已到账 ；</t>
    </r>
    <phoneticPr fontId="1" type="noConversion"/>
  </si>
  <si>
    <t>FT 23/0000227|FT 23/0000314</t>
  </si>
  <si>
    <t>515251135</t>
  </si>
  <si>
    <t>CURIOSO E JANOTA LDA 程阿杰</t>
  </si>
  <si>
    <t>FT 23/0000274&amp;NC 23/0000079&amp;NC 23/0000173&amp;NC 23/0000251</t>
  </si>
  <si>
    <t>515102466</t>
  </si>
  <si>
    <t>NUVEM PRATEADA LDA 范小军</t>
  </si>
  <si>
    <t>FT 23/0000222&amp;NC 23/0000146</t>
  </si>
  <si>
    <t>513523073</t>
  </si>
  <si>
    <t>SHUANGJIE YE LDA 叶双杰</t>
  </si>
  <si>
    <t>FT 23/0000240&amp;NC 23/0000128&amp;NC 23/0000076&amp;NC 22/0000100</t>
  </si>
  <si>
    <t>277775094</t>
  </si>
  <si>
    <t>XIAOXIONG ZHU 朱小雄</t>
  </si>
  <si>
    <t>FT 23/0000308&amp;NC 23/0000214</t>
  </si>
  <si>
    <t xml:space="preserve"> FT 23/0000128&amp;NC 23/0000080&amp;NC 23/0000081&amp;NC 23/0000089&amp;NC 23/0000161&amp;FT 23/0000175</t>
  </si>
  <si>
    <t>FT 23/0000242&amp;NC 23/0000077&amp;NC 23/0000008</t>
  </si>
  <si>
    <r>
      <t>10426.58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客户：ORIENTE PERFEITO LDA  戴海亮 发票号:FT 23/0000227|FT 23/0000314 已到账 支票已兑；</t>
    </r>
    <phoneticPr fontId="1" type="noConversion"/>
  </si>
  <si>
    <r>
      <t>6489.55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客户：CURIOSO E JANOTA LDA 程阿杰 发票号:FT 23/0000274&amp;NC 23/0000079&amp;NC 23/0000173&amp;NC 23/0000251 已到账 支票已兑；</t>
    </r>
    <phoneticPr fontId="1" type="noConversion"/>
  </si>
  <si>
    <r>
      <t>2147.66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客户：NUVEM PRATEADA LDA 范小军 发票号:FT 23/0000222&amp;NC 23/0000146 已到账 支票已兑；</t>
    </r>
    <phoneticPr fontId="1" type="noConversion"/>
  </si>
  <si>
    <r>
      <t>1102.8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客户：SHUANGJIE YE LDA 叶双杰 发票号:FT 23/0000240&amp;NC 23/0000128&amp;NC 23/0000076&amp;NC 22/0000100 已到账 支票已兑；</t>
    </r>
    <phoneticPr fontId="1" type="noConversion"/>
  </si>
  <si>
    <r>
      <t>1423.5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客户：XIAOXIONG ZHU 朱小雄 发票号:FT 23/0000308&amp;NC 23/0000214 已到账 支票已兑；</t>
    </r>
    <phoneticPr fontId="1" type="noConversion"/>
  </si>
  <si>
    <r>
      <t>2880.85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客户：SURPRESAS E AVENTURAS LDA 小峰 发票号: FT 23/0000128&amp;NC 23/0000080&amp;NC 23/0000081&amp;NC 23/0000089&amp;NC 23/0000161&amp;FT 23/0000175 已到账 支票已兑；</t>
    </r>
    <phoneticPr fontId="1" type="noConversion"/>
  </si>
  <si>
    <r>
      <t>476.6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客户：MAO &amp; QIN IMPORTACAO E EXPORTACAO LDA 秦峰 发票号:FT 23/0000242&amp;NC 23/0000077&amp;NC 23/0000008 已到账 支票已兑；</t>
    </r>
    <phoneticPr fontId="1" type="noConversion"/>
  </si>
  <si>
    <t>514182563</t>
  </si>
  <si>
    <t>MOMENTOS ESTIVAIS UNIPESSOAL LDA 季友谊</t>
  </si>
  <si>
    <t>FT23/000255&amp;NC23/000270</t>
  </si>
  <si>
    <t>260788902</t>
  </si>
  <si>
    <t>MEI GUO</t>
  </si>
  <si>
    <t>FT23/000214&amp;NC23/000139&amp;NC 23/000190</t>
  </si>
  <si>
    <t>FT 23/0000237</t>
  </si>
  <si>
    <t>515608505</t>
  </si>
  <si>
    <t>SUPRESA INCOMPARAVEL LDA 金诚磊</t>
  </si>
  <si>
    <t>FT 23/0000147</t>
  </si>
  <si>
    <t>FT 23/0000232&amp;NC 23/0000159&amp;NC 23/0000158</t>
  </si>
  <si>
    <t>265920868</t>
  </si>
  <si>
    <t>CHANGMAI LI</t>
  </si>
  <si>
    <t>FT 23/0000339</t>
  </si>
  <si>
    <t>FT23/000283&amp;NC23/000142&amp;NC23/000143&amp;NC23/000196&amp;NC23/000202&amp;NC 23/000262</t>
  </si>
  <si>
    <t>FT 23/0000271</t>
  </si>
  <si>
    <t>FT 23/0000331</t>
  </si>
  <si>
    <r>
      <t>1097.2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客户：MOMENTOS ESTIVAIS UNIPESSOAL LDA 季友谊 发票号:FT23/000255&amp;NC23/000270 已到账 支票已兑；</t>
    </r>
    <phoneticPr fontId="1" type="noConversion"/>
  </si>
  <si>
    <r>
      <t>1906.08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客户：MEI GUO 发票号:FT23/000214&amp;NC23/000139&amp;NC 23/000190 已到账 支票已兑；</t>
    </r>
    <phoneticPr fontId="1" type="noConversion"/>
  </si>
  <si>
    <r>
      <t>1324.91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客户：INCRIVEL SORRISO IUNIP LDA 吴闯 发票号:FT 23/0000237 已到账 支票已兑；</t>
    </r>
    <phoneticPr fontId="1" type="noConversion"/>
  </si>
  <si>
    <r>
      <t>1370.91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客户：SUPRESA INCOMPARAVEL LDA 金诚磊 发票号:FT 23/0000147 已到账 支票已兑；</t>
    </r>
    <phoneticPr fontId="1" type="noConversion"/>
  </si>
  <si>
    <r>
      <t>1295.99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客户：YOUNGWAY LDA 张洪波 发票号:FT 23/0000232&amp;NC 23/0000159&amp;NC 23/0000158 已到账 支票已兑；</t>
    </r>
    <phoneticPr fontId="1" type="noConversion"/>
  </si>
  <si>
    <r>
      <t>1181.17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客户：CHANGMAI LI 发票号:FT 23/0000339 已到账 支票已兑；</t>
    </r>
    <phoneticPr fontId="1" type="noConversion"/>
  </si>
  <si>
    <r>
      <t>2023.39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客户：GABARITO POSTIVO UNIPESSOAL LDA 王军 发票号:FT23/000283&amp;NC23/000142&amp;NC23/000143&amp;NC23/000196&amp;NC23/000202&amp;NC 23/000262 已到账 支票已兑；</t>
    </r>
    <phoneticPr fontId="1" type="noConversion"/>
  </si>
  <si>
    <r>
      <t>1210.39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客户：LILAS TIMIDO, LDA 发票号:FT 23/0000271 已到账 支票已兑；</t>
    </r>
    <phoneticPr fontId="1" type="noConversion"/>
  </si>
  <si>
    <r>
      <t>3222.98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客户：DYNAMIC KANGAROO LDA 陈开来 发票号:FT 23/0000331 已到账 支票已兑；</t>
    </r>
    <phoneticPr fontId="1" type="noConversion"/>
  </si>
  <si>
    <t>260670510</t>
  </si>
  <si>
    <t>HAIYAN CHEN 林恩克</t>
  </si>
  <si>
    <t>FT 23/0000275</t>
  </si>
  <si>
    <t>FT23/0000279&amp;FT23/0000340&amp;NC23/0000252</t>
  </si>
  <si>
    <t>FT 23/0000284</t>
  </si>
  <si>
    <t>510725279</t>
  </si>
  <si>
    <t>VERIENIE JASMIM LDA 应楚阳</t>
  </si>
  <si>
    <t>FT 23/0000231</t>
  </si>
  <si>
    <t>FT23/0000155&amp;NC22/000014&amp;NC23/0000107&amp;NC23/0000091&amp;NC23/0000134</t>
  </si>
  <si>
    <r>
      <t>3868.49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客户：HAIYAN CHEN 林恩克 发票号:FT 23/0000275 已到账 支票已兑；</t>
    </r>
    <phoneticPr fontId="1" type="noConversion"/>
  </si>
  <si>
    <r>
      <t>2954.61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客户：NEWAX UNIVERSAL TRADE UNIPESSOAL LDA 杨建华 发票号:FT23/0000279&amp;FT23/0000340&amp;NC23/0000252 已到账 支票已兑；</t>
    </r>
    <phoneticPr fontId="1" type="noConversion"/>
  </si>
  <si>
    <r>
      <t>2307.79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客户：SHUANGJIE YE LDA 叶双杰 发票号:FT 23/0000284 已到账 支票已兑；</t>
    </r>
    <phoneticPr fontId="1" type="noConversion"/>
  </si>
  <si>
    <r>
      <t>426.09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客户：VERIENIE JASMIM LDA 应楚阳 发票号:FT 23/0000231 已到账 支票已兑；</t>
    </r>
    <phoneticPr fontId="1" type="noConversion"/>
  </si>
  <si>
    <r>
      <t>2542.1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客户：BULICIO DOS DEUSES LDA 君亮 小峰新店 发票号:FT23/0000155&amp;NC22/000014&amp;NC23/0000107&amp;NC23/0000091&amp;NC23/0000134 已到账 支票已兑；</t>
    </r>
    <phoneticPr fontId="1" type="noConversion"/>
  </si>
  <si>
    <t>515689564</t>
  </si>
  <si>
    <t>SEREIAS MODERNAS UNIPESSOAL LDA 陈伟</t>
  </si>
  <si>
    <t>FT 23/0000230</t>
  </si>
  <si>
    <t>FT 23/0000318</t>
  </si>
  <si>
    <t>FT 23/0000388</t>
  </si>
  <si>
    <r>
      <t>860.97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客户：SEREIAS MODERNAS UNIPESSOAL LDA 陈伟 发票号:FT 23/0000230 已到账 ；</t>
    </r>
    <phoneticPr fontId="1" type="noConversion"/>
  </si>
  <si>
    <r>
      <t>1397.9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客户：SEREIAS MODERNAS UNIPESSOAL LDA 陈伟 发票号:FT 23/0000318 已到账 ；</t>
    </r>
    <phoneticPr fontId="1" type="noConversion"/>
  </si>
  <si>
    <r>
      <t>1300.94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客户：FABULAS &amp; DEUSES UNIPESSOAL LDA 叶利双 发票号:FT 23/0000388 已到账 ；</t>
    </r>
    <phoneticPr fontId="1" type="noConversion"/>
  </si>
  <si>
    <t>FTS23/0002583</t>
  </si>
  <si>
    <t>FTS23/0002570</t>
  </si>
  <si>
    <t>FTS23/0002568</t>
  </si>
  <si>
    <r>
      <t>12710.55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客户：FOLIA ERUDITA UNIPESSOAL LDA 张耀 发票号:FTS23/0002583 已到账 ；</t>
    </r>
    <phoneticPr fontId="1" type="noConversion"/>
  </si>
  <si>
    <r>
      <t>388.58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客户：XIAOYI WANG 发票号:FTS23/0002570 已到账 ；</t>
    </r>
    <phoneticPr fontId="1" type="noConversion"/>
  </si>
  <si>
    <r>
      <t>453.99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客户：CHENG HONG 发票号:FTS23/0002568 已到账 ；</t>
    </r>
    <phoneticPr fontId="1" type="noConversion"/>
  </si>
  <si>
    <t>FTS23/0002462</t>
  </si>
  <si>
    <r>
      <t>2310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客户：YUN LAI FU S.L. 发票号:FTS23/0002462 已到账 ；</t>
    </r>
    <phoneticPr fontId="1" type="noConversion"/>
  </si>
  <si>
    <t xml:space="preserve"> FTS23/0002575</t>
  </si>
  <si>
    <t>FTS23/0001765</t>
  </si>
  <si>
    <r>
      <t>1100.5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客户：HUANLIANG YANG 发票号: FTS23/0002575 已到账 ；</t>
    </r>
    <phoneticPr fontId="1" type="noConversion"/>
  </si>
  <si>
    <r>
      <t>1172.7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客户：MARK ZUX S.L. 发票号:FTS23/0001765 已到账 支票已兑；</t>
    </r>
    <phoneticPr fontId="1" type="noConversion"/>
  </si>
  <si>
    <t>FTS23/0002586</t>
  </si>
  <si>
    <t>B99396574</t>
  </si>
  <si>
    <t>SHUN YI DA S.L</t>
  </si>
  <si>
    <t>FTS23/0002435</t>
  </si>
  <si>
    <t xml:space="preserve"> FTS23/0002543</t>
  </si>
  <si>
    <r>
      <t>297.17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客户：EL AZRAK MERJANI HAMZA 发票号:FTS23/0002586 已到账 ；</t>
    </r>
    <phoneticPr fontId="1" type="noConversion"/>
  </si>
  <si>
    <r>
      <t>2056.64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客户：SHUN YI DA S.L 发票号:FTS23/0002435 已到账 ；</t>
    </r>
    <phoneticPr fontId="1" type="noConversion"/>
  </si>
  <si>
    <r>
      <t>166.53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客户：QIAN WU 发票号: FTS23/0002543 已到账 ；</t>
    </r>
    <phoneticPr fontId="1" type="noConversion"/>
  </si>
  <si>
    <t>UNICO</t>
  </si>
  <si>
    <t>U_CajaRural</t>
    <phoneticPr fontId="1" type="noConversion"/>
  </si>
  <si>
    <t>U_CajaMar</t>
    <phoneticPr fontId="1" type="noConversion"/>
  </si>
  <si>
    <t>U_IberCaja</t>
  </si>
  <si>
    <t>B10466233</t>
  </si>
  <si>
    <t>HIPER SOL S.L</t>
  </si>
  <si>
    <t>UE23/0001619</t>
  </si>
  <si>
    <r>
      <t>592.77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客户：HIPER SOL S.L 发票号:UE23/0001619 已到账 ；</t>
    </r>
    <phoneticPr fontId="1" type="noConversion"/>
  </si>
  <si>
    <t>U_sabadell</t>
  </si>
  <si>
    <t>X9712923T</t>
  </si>
  <si>
    <t>JUNJIE CHEN</t>
  </si>
  <si>
    <t>UE23/0001610</t>
  </si>
  <si>
    <r>
      <t>2287.1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客户：JUNJIE CHEN 发票号:UE23/0001610 已到账 ；</t>
    </r>
    <phoneticPr fontId="1" type="noConversion"/>
  </si>
  <si>
    <t>已发</t>
    <phoneticPr fontId="1" type="noConversion"/>
  </si>
  <si>
    <t>U_CajaRural</t>
  </si>
  <si>
    <t>B90298266</t>
  </si>
  <si>
    <t>BAZAR YUANG FA S.L</t>
  </si>
  <si>
    <t xml:space="preserve"> UE23/0001604</t>
  </si>
  <si>
    <r>
      <t>223.67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客户：BAZAR YUANG FA S.L 发票号: UE23/0001604 已到账 ；</t>
    </r>
    <phoneticPr fontId="1" type="noConversion"/>
  </si>
  <si>
    <t>X5106050G</t>
  </si>
  <si>
    <t>JIANQING ZHENG</t>
  </si>
  <si>
    <t>UE23/0001627</t>
  </si>
  <si>
    <t>B54798111</t>
  </si>
  <si>
    <t>ZI QI LIN S.</t>
  </si>
  <si>
    <t>UE23/0001654</t>
  </si>
  <si>
    <t>B14875892-2</t>
  </si>
  <si>
    <t>SI MEI TE S.L 叶潮斌</t>
  </si>
  <si>
    <t>UE23/0001645&amp;UE23/0001644</t>
  </si>
  <si>
    <r>
      <t>854.91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客户：JIANQING ZHENG 发票号:UE23/0001627 已到账 ；</t>
    </r>
    <phoneticPr fontId="1" type="noConversion"/>
  </si>
  <si>
    <r>
      <t>2289.56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客户：ZI QI LIN S. 发票号:UE23/0001654 已到账 ；</t>
    </r>
    <phoneticPr fontId="1" type="noConversion"/>
  </si>
  <si>
    <r>
      <t>4523.53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客户：SI MEI TE S.L 叶潮斌 发票号:UE23/0001645&amp;UE23/0001644 已到账 ；</t>
    </r>
    <phoneticPr fontId="1" type="noConversion"/>
  </si>
  <si>
    <t>B06713887</t>
  </si>
  <si>
    <t>SHOPPING GO SERENA S.L</t>
  </si>
  <si>
    <t>UE23/0001273</t>
  </si>
  <si>
    <r>
      <t>3112.25</t>
    </r>
    <r>
      <rPr>
        <sz val="11"/>
        <color theme="1"/>
        <rFont val="等线"/>
        <family val="3"/>
        <charset val="134"/>
        <scheme val="minor"/>
      </rPr>
      <t>€</t>
    </r>
    <r>
      <rPr>
        <sz val="11"/>
        <color theme="1"/>
        <rFont val="等线"/>
        <family val="2"/>
        <scheme val="minor"/>
      </rPr>
      <t xml:space="preserve"> 客户：SHOPPING GO SERENA S.L 发票号:UE23/0001273 已到账 ；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</si>
</sst>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0\ [$€-1];[Red]\-#,##0.00\ [$€-1]"/>
  </numFmts>
  <fonts count="2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name val="等线"/>
      <family val="2"/>
      <scheme val="minor"/>
    </font>
    <font>
      <sz val="1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8"/>
      <color rgb="FF333333"/>
      <name val="Arial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等线"/>
      <family val="2"/>
      <scheme val="minor"/>
    </font>
    <font>
      <b/>
      <sz val="9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theme="1"/>
      <name val="Arial"/>
      <family val="2"/>
    </font>
    <font>
      <sz val="9"/>
      <color theme="1"/>
      <name val="等线"/>
      <family val="3"/>
      <charset val="134"/>
      <scheme val="minor"/>
    </font>
    <font>
      <sz val="12"/>
      <name val="Calibri"/>
      <family val="2"/>
    </font>
    <font>
      <sz val="9"/>
      <color theme="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</borders>
  <cellStyleXfs count="4">
    <xf numFmtId="176" fontId="0" fillId="0" borderId="0"/>
    <xf numFmtId="176" fontId="2" fillId="0" borderId="0">
      <alignment vertical="center"/>
    </xf>
    <xf numFmtId="176" fontId="13" fillId="0" borderId="0" applyNumberFormat="0" applyFill="0" applyBorder="0" applyAlignment="0" applyProtection="0"/>
    <xf numFmtId="0" fontId="19" fillId="0" borderId="0"/>
  </cellStyleXfs>
  <cellXfs count="49">
    <xf numFmtId="176" fontId="0" fillId="0" borderId="0" xfId="0"/>
    <xf numFmtId="176" fontId="0" fillId="0" borderId="0" xfId="0" applyAlignment="1">
      <alignment horizontal="left" vertical="center"/>
    </xf>
    <xf numFmtId="176" fontId="4" fillId="2" borderId="0" xfId="0" applyFont="1" applyFill="1"/>
    <xf numFmtId="176" fontId="4" fillId="2" borderId="0" xfId="0" applyFont="1" applyFill="1" applyAlignment="1">
      <alignment horizontal="center" vertical="center"/>
    </xf>
    <xf numFmtId="176" fontId="4" fillId="2" borderId="0" xfId="0" applyFont="1" applyFill="1" applyAlignment="1">
      <alignment horizontal="center"/>
    </xf>
    <xf numFmtId="176" fontId="4" fillId="3" borderId="0" xfId="0" applyFont="1" applyFill="1"/>
    <xf numFmtId="176" fontId="5" fillId="2" borderId="0" xfId="0" applyFont="1" applyFill="1" applyAlignment="1">
      <alignment horizontal="center" vertical="center"/>
    </xf>
    <xf numFmtId="176" fontId="0" fillId="4" borderId="0" xfId="0" applyFill="1"/>
    <xf numFmtId="176" fontId="4" fillId="5" borderId="0" xfId="0" applyFont="1" applyFill="1"/>
    <xf numFmtId="14" fontId="4" fillId="2" borderId="0" xfId="0" applyNumberFormat="1" applyFont="1" applyFill="1"/>
    <xf numFmtId="14" fontId="0" fillId="0" borderId="0" xfId="0" applyNumberFormat="1"/>
    <xf numFmtId="176" fontId="0" fillId="6" borderId="0" xfId="0" applyFill="1"/>
    <xf numFmtId="176" fontId="5" fillId="5" borderId="0" xfId="0" applyFont="1" applyFill="1"/>
    <xf numFmtId="176" fontId="0" fillId="7" borderId="0" xfId="0" applyFill="1"/>
    <xf numFmtId="176" fontId="5" fillId="2" borderId="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176" fontId="7" fillId="0" borderId="0" xfId="0" applyFont="1"/>
    <xf numFmtId="14" fontId="7" fillId="0" borderId="0" xfId="0" applyNumberFormat="1" applyFont="1"/>
    <xf numFmtId="176" fontId="8" fillId="0" borderId="0" xfId="0" applyFont="1"/>
    <xf numFmtId="14" fontId="8" fillId="0" borderId="0" xfId="0" applyNumberFormat="1" applyFont="1"/>
    <xf numFmtId="176" fontId="0" fillId="0" borderId="0" xfId="0" applyAlignment="1">
      <alignment horizontal="left" vertical="center" wrapText="1"/>
    </xf>
    <xf numFmtId="49" fontId="9" fillId="0" borderId="0" xfId="0" applyNumberFormat="1" applyFont="1"/>
    <xf numFmtId="49" fontId="5" fillId="2" borderId="0" xfId="0" applyNumberFormat="1" applyFont="1" applyFill="1" applyAlignment="1">
      <alignment horizontal="center" vertical="center"/>
    </xf>
    <xf numFmtId="176" fontId="10" fillId="0" borderId="0" xfId="0" applyFont="1"/>
    <xf numFmtId="176" fontId="5" fillId="8" borderId="0" xfId="0" applyFont="1" applyFill="1" applyAlignment="1">
      <alignment horizontal="center" vertical="center"/>
    </xf>
    <xf numFmtId="176" fontId="0" fillId="6" borderId="0" xfId="0" applyFill="1" applyAlignment="1">
      <alignment horizontal="left" vertical="center"/>
    </xf>
    <xf numFmtId="176" fontId="13" fillId="0" borderId="0" xfId="2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5" fillId="3" borderId="0" xfId="0" applyNumberFormat="1" applyFont="1" applyFill="1" applyAlignment="1">
      <alignment horizontal="center" vertical="center"/>
    </xf>
    <xf numFmtId="176" fontId="5" fillId="3" borderId="0" xfId="0" applyFont="1" applyFill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/>
    </xf>
    <xf numFmtId="49" fontId="14" fillId="3" borderId="0" xfId="0" applyNumberFormat="1" applyFont="1" applyFill="1" applyAlignment="1">
      <alignment horizontal="center" vertical="center"/>
    </xf>
    <xf numFmtId="176" fontId="5" fillId="2" borderId="0" xfId="0" applyFont="1" applyFill="1"/>
    <xf numFmtId="176" fontId="5" fillId="2" borderId="0" xfId="0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15" fillId="0" borderId="0" xfId="0" applyNumberFormat="1" applyFont="1"/>
    <xf numFmtId="176" fontId="16" fillId="4" borderId="0" xfId="0" applyFont="1" applyFill="1"/>
    <xf numFmtId="176" fontId="17" fillId="0" borderId="0" xfId="0" applyFont="1"/>
    <xf numFmtId="176" fontId="0" fillId="2" borderId="0" xfId="0" applyFill="1"/>
    <xf numFmtId="176" fontId="0" fillId="9" borderId="0" xfId="0" applyFill="1"/>
    <xf numFmtId="49" fontId="18" fillId="0" borderId="0" xfId="0" applyNumberFormat="1" applyFont="1"/>
    <xf numFmtId="49" fontId="20" fillId="0" borderId="0" xfId="0" applyNumberFormat="1" applyFont="1"/>
    <xf numFmtId="49" fontId="21" fillId="0" borderId="0" xfId="0" applyNumberFormat="1" applyFont="1"/>
    <xf numFmtId="49" fontId="22" fillId="0" borderId="0" xfId="0" applyNumberFormat="1" applyFont="1"/>
    <xf numFmtId="176" fontId="0" fillId="0" borderId="0" xfId="0" applyNumberFormat="1"/>
    <xf numFmtId="176" fontId="0" fillId="0" borderId="0" xfId="0" applyNumberFormat="1" applyAlignment="1">
      <alignment horizontal="left" vertical="center"/>
    </xf>
    <xf numFmtId="176" fontId="0" fillId="4" borderId="0" xfId="0" applyNumberFormat="1" applyFill="1"/>
  </cellXfs>
  <cellStyles count="4">
    <cellStyle name="常规" xfId="0" builtinId="0"/>
    <cellStyle name="常规 2" xfId="1" xr:uid="{00000000-0005-0000-0000-000001000000}"/>
    <cellStyle name="常规 3" xfId="3" xr:uid="{00000000-0005-0000-0000-000002000000}"/>
    <cellStyle name="超链接" xfId="2" builtinId="8"/>
  </cellStyles>
  <dxfs count="2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numFmt numFmtId="176" formatCode="#,##0.00\ [$€-1];[Red]\-#,##0.00\ [$€-1]"/>
    </dxf>
    <dxf>
      <numFmt numFmtId="176" formatCode="#,##0.00\ [$€-1];[Red]\-#,##0.00\ [$€-1]"/>
      <fill>
        <patternFill patternType="solid">
          <fgColor indexed="64"/>
          <bgColor theme="0" tint="-0.14999847407452621"/>
        </patternFill>
      </fill>
    </dxf>
    <dxf>
      <numFmt numFmtId="176" formatCode="#,##0.00\ [$€-1];[Red]\-#,##0.00\ [$€-1]"/>
      <alignment horizontal="left" vertical="center" textRotation="0" wrapText="0" indent="0" justifyLastLine="0" shrinkToFit="0" readingOrder="0"/>
    </dxf>
    <dxf>
      <numFmt numFmtId="176" formatCode="#,##0.00\ [$€-1];[Red]\-#,##0.00\ [$€-1]"/>
    </dxf>
    <dxf>
      <numFmt numFmtId="19" formatCode="yyyy/m/d"/>
    </dxf>
    <dxf>
      <numFmt numFmtId="176" formatCode="#,##0.00\ [$€-1];[Red]\-#,##0.00\ [$€-1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等线"/>
        <scheme val="minor"/>
      </font>
      <numFmt numFmtId="30" formatCode="@"/>
    </dxf>
    <dxf>
      <numFmt numFmtId="176" formatCode="#,##0.00\ [$€-1];[Red]\-#,##0.00\ [$€-1]"/>
    </dxf>
    <dxf>
      <numFmt numFmtId="176" formatCode="#,##0.00\ [$€-1];[Red]\-#,##0.00\ [$€-1]"/>
    </dxf>
    <dxf>
      <numFmt numFmtId="19" formatCode="yyyy/m/d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solid">
          <fgColor indexed="64"/>
          <bgColor theme="8" tint="0.399975585192419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784860</xdr:colOff>
          <xdr:row>0</xdr:row>
          <xdr:rowOff>0</xdr:rowOff>
        </xdr:from>
        <xdr:to>
          <xdr:col>17</xdr:col>
          <xdr:colOff>2087880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填充发送内容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1:S640" totalsRowShown="0" headerRowDxfId="27">
  <autoFilter ref="A1:S640" xr:uid="{00000000-0009-0000-0100-000003000000}">
    <filterColumn colId="1">
      <filters>
        <filter val="UNICO"/>
      </filters>
    </filterColumn>
  </autoFilter>
  <tableColumns count="19">
    <tableColumn id="1" xr3:uid="{00000000-0010-0000-0000-000001000000}" name="序号" dataDxfId="26"/>
    <tableColumn id="2" xr3:uid="{00000000-0010-0000-0000-000002000000}" name="公司名称"/>
    <tableColumn id="3" xr3:uid="{00000000-0010-0000-0000-000003000000}" name="银行名称"/>
    <tableColumn id="4" xr3:uid="{00000000-0010-0000-0000-000004000000}" name="到账日期" dataDxfId="25"/>
    <tableColumn id="5" xr3:uid="{00000000-0010-0000-0000-000005000000}" name="收支状态"/>
    <tableColumn id="6" xr3:uid="{00000000-0010-0000-0000-000006000000}" name="到账金额" dataDxfId="24"/>
    <tableColumn id="7" xr3:uid="{00000000-0010-0000-0000-000007000000}" name="刷卡手续费" dataDxfId="23"/>
    <tableColumn id="8" xr3:uid="{00000000-0010-0000-0000-000008000000}" name="银行描述" dataDxfId="22"/>
    <tableColumn id="9" xr3:uid="{00000000-0010-0000-0000-000009000000}" name="账单金额" dataDxfId="21"/>
    <tableColumn id="10" xr3:uid="{00000000-0010-0000-0000-00000A000000}" name="记账日期" dataDxfId="20"/>
    <tableColumn id="11" xr3:uid="{00000000-0010-0000-0000-00000B000000}" name="收支类型" dataDxfId="19"/>
    <tableColumn id="12" xr3:uid="{00000000-0010-0000-0000-00000C000000}" name="收支明细" dataDxfId="18"/>
    <tableColumn id="13" xr3:uid="{00000000-0010-0000-0000-00000D000000}" name="客户/供应商 名称" dataDxfId="17">
      <calculatedColumnFormula>IF(K2="收_客户",INDEX(客户信息维护!C:C,MATCH(银行日记账登记!L2,客户信息维护!B:B,0)),IF(K2="支_供应商",INDEX(供应商信息维护!C:C,MATCH(银行日记账登记!L2,供应商信息维护!B:B,0)),""))</calculatedColumnFormula>
    </tableColumn>
    <tableColumn id="14" xr3:uid="{00000000-0010-0000-0000-00000E000000}" name="发票号" dataDxfId="16"/>
    <tableColumn id="15" xr3:uid="{00000000-0010-0000-0000-00000F000000}" name="凭证号" dataDxfId="15"/>
    <tableColumn id="16" xr3:uid="{00000000-0010-0000-0000-000010000000}" name="备注"/>
    <tableColumn id="17" xr3:uid="{00000000-0010-0000-0000-000011000000}" name="文员对接"/>
    <tableColumn id="18" xr3:uid="{00000000-0010-0000-0000-000012000000}" name="发送内容"/>
    <tableColumn id="19" xr3:uid="{00000000-0010-0000-0000-000013000000}" name="列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B1:C355" totalsRowShown="0" headerRowDxfId="12">
  <autoFilter ref="B1:C355" xr:uid="{00000000-0009-0000-0100-000001000000}"/>
  <sortState xmlns:xlrd2="http://schemas.microsoft.com/office/spreadsheetml/2017/richdata2" ref="B2:C112">
    <sortCondition ref="B1:B112"/>
  </sortState>
  <tableColumns count="2">
    <tableColumn id="1" xr3:uid="{00000000-0010-0000-0100-000001000000}" name="收_客户" dataDxfId="11"/>
    <tableColumn id="2" xr3:uid="{00000000-0010-0000-0100-000002000000}" name="客户名称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" displayName="表2" ref="K1:K20" totalsRowShown="0" headerRowDxfId="10" dataDxfId="9">
  <autoFilter ref="K1:K20" xr:uid="{00000000-0009-0000-0100-000002000000}"/>
  <tableColumns count="1">
    <tableColumn id="1" xr3:uid="{00000000-0010-0000-0200-000001000000}" name="支_费用" dataDxfId="8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ww.grupocajarural.es/es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bbva.es/empresas.html" TargetMode="External"/><Relationship Id="rId1" Type="http://schemas.openxmlformats.org/officeDocument/2006/relationships/hyperlink" Target="https://www.caixabank.es/empresa/home/empresas_es.html" TargetMode="External"/><Relationship Id="rId6" Type="http://schemas.openxmlformats.org/officeDocument/2006/relationships/hyperlink" Target="https://www.cajamar.es/es/empresas/" TargetMode="External"/><Relationship Id="rId5" Type="http://schemas.openxmlformats.org/officeDocument/2006/relationships/hyperlink" Target="https://caixaebankingonline.cgd.pt/" TargetMode="External"/><Relationship Id="rId4" Type="http://schemas.openxmlformats.org/officeDocument/2006/relationships/hyperlink" Target="https://www.bancobpi.pt/es/particulares" TargetMode="External"/><Relationship Id="rId9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S640"/>
  <sheetViews>
    <sheetView tabSelected="1" workbookViewId="0">
      <pane xSplit="3" ySplit="1" topLeftCell="I634" activePane="bottomRight" state="frozen"/>
      <selection pane="topRight" activeCell="D1" sqref="D1"/>
      <selection pane="bottomLeft" activeCell="A2" sqref="A2"/>
      <selection pane="bottomRight" activeCell="K651" sqref="K651"/>
    </sheetView>
  </sheetViews>
  <sheetFormatPr defaultRowHeight="13.8" x14ac:dyDescent="0.25"/>
  <cols>
    <col min="1" max="1" width="6.88671875" style="29" customWidth="1"/>
    <col min="2" max="2" width="19.109375" customWidth="1"/>
    <col min="3" max="3" width="14.21875" customWidth="1"/>
    <col min="4" max="4" width="13.44140625" style="15" hidden="1" customWidth="1"/>
    <col min="5" max="5" width="10.88671875" hidden="1" customWidth="1"/>
    <col min="6" max="6" width="12.33203125" hidden="1" customWidth="1"/>
    <col min="7" max="7" width="12.88671875" hidden="1" customWidth="1"/>
    <col min="8" max="8" width="50.109375" style="23" hidden="1" customWidth="1"/>
    <col min="9" max="9" width="12.88671875" customWidth="1"/>
    <col min="10" max="10" width="10.88671875" style="10" customWidth="1"/>
    <col min="11" max="11" width="10.88671875" customWidth="1"/>
    <col min="12" max="12" width="13.88671875" style="1" customWidth="1"/>
    <col min="13" max="13" width="33.44140625" customWidth="1"/>
    <col min="14" max="14" width="14.88671875" customWidth="1"/>
    <col min="15" max="15" width="0" style="17" hidden="1" customWidth="1"/>
    <col min="16" max="16" width="18.44140625" customWidth="1"/>
    <col min="17" max="17" width="10.88671875" customWidth="1"/>
    <col min="18" max="18" width="78.77734375" customWidth="1"/>
  </cols>
  <sheetData>
    <row r="1" spans="1:19" ht="16.2" customHeight="1" x14ac:dyDescent="0.25">
      <c r="A1" s="30" t="s">
        <v>104</v>
      </c>
      <c r="B1" s="31" t="s">
        <v>42</v>
      </c>
      <c r="C1" s="31" t="s">
        <v>43</v>
      </c>
      <c r="D1" s="32" t="s">
        <v>46</v>
      </c>
      <c r="E1" s="31" t="s">
        <v>44</v>
      </c>
      <c r="F1" s="31" t="s">
        <v>50</v>
      </c>
      <c r="G1" s="31" t="s">
        <v>70</v>
      </c>
      <c r="H1" s="33" t="s">
        <v>87</v>
      </c>
      <c r="I1" s="34" t="s">
        <v>131</v>
      </c>
      <c r="J1" s="34" t="s">
        <v>132</v>
      </c>
      <c r="K1" s="34" t="s">
        <v>123</v>
      </c>
      <c r="L1" s="35" t="s">
        <v>121</v>
      </c>
      <c r="M1" s="12" t="s">
        <v>122</v>
      </c>
      <c r="N1" s="34" t="s">
        <v>124</v>
      </c>
      <c r="O1" s="24" t="s">
        <v>49</v>
      </c>
      <c r="P1" s="34" t="s">
        <v>51</v>
      </c>
      <c r="Q1" s="34" t="s">
        <v>52</v>
      </c>
      <c r="R1" s="34" t="s">
        <v>81</v>
      </c>
      <c r="S1" s="34" t="s">
        <v>78</v>
      </c>
    </row>
    <row r="2" spans="1:19" hidden="1" x14ac:dyDescent="0.25">
      <c r="A2" s="29">
        <v>1</v>
      </c>
      <c r="B2" t="s">
        <v>55</v>
      </c>
      <c r="C2" t="s">
        <v>127</v>
      </c>
      <c r="D2" s="15">
        <v>45121</v>
      </c>
      <c r="E2" t="s">
        <v>86</v>
      </c>
      <c r="F2">
        <v>435.58</v>
      </c>
      <c r="H2" s="23" t="s">
        <v>219</v>
      </c>
      <c r="I2" s="18">
        <v>435.58</v>
      </c>
      <c r="J2" s="19">
        <v>45121</v>
      </c>
      <c r="K2" s="18" t="s">
        <v>100</v>
      </c>
      <c r="L2" s="1" t="s">
        <v>125</v>
      </c>
      <c r="M2" s="7" t="str">
        <f>IF(K2="收_客户",INDEX(客户信息维护!C:C,MATCH(银行日记账登记!L2,客户信息维护!B:B,0)),IF(K2="支_供应商",INDEX(供应商信息维护!C:C,MATCH(银行日记账登记!L2,供应商信息维护!B:B,0)),""))</f>
        <v>YUPING RUAN WU S.L</v>
      </c>
      <c r="N2" t="s">
        <v>128</v>
      </c>
      <c r="O2" s="17">
        <v>69</v>
      </c>
      <c r="Q2" t="s">
        <v>79</v>
      </c>
      <c r="R2" t="s">
        <v>158</v>
      </c>
    </row>
    <row r="3" spans="1:19" hidden="1" x14ac:dyDescent="0.25">
      <c r="A3" s="29">
        <v>2</v>
      </c>
      <c r="B3" t="s">
        <v>55</v>
      </c>
      <c r="C3" t="s">
        <v>127</v>
      </c>
      <c r="D3" s="15">
        <v>45121</v>
      </c>
      <c r="E3" t="s">
        <v>86</v>
      </c>
      <c r="F3">
        <v>1017.91</v>
      </c>
      <c r="I3" s="20">
        <v>792.83</v>
      </c>
      <c r="J3" s="21">
        <v>45121</v>
      </c>
      <c r="K3" s="20" t="s">
        <v>100</v>
      </c>
      <c r="L3" s="1" t="s">
        <v>129</v>
      </c>
      <c r="M3" s="7" t="str">
        <f>IF(K3="收_客户",INDEX(客户信息维护!C:C,MATCH(银行日记账登记!L3,客户信息维护!B:B,0)),IF(K3="支_供应商",INDEX(供应商信息维护!C:C,MATCH(银行日记账登记!L3,供应商信息维护!B:B,0)),""))</f>
        <v>GUANHAI DU</v>
      </c>
      <c r="N3" t="s">
        <v>133</v>
      </c>
      <c r="O3" s="17" t="s">
        <v>134</v>
      </c>
      <c r="P3" t="s">
        <v>273</v>
      </c>
      <c r="Q3" t="s">
        <v>79</v>
      </c>
      <c r="R3" t="s">
        <v>203</v>
      </c>
    </row>
    <row r="4" spans="1:19" hidden="1" x14ac:dyDescent="0.25">
      <c r="A4" s="29">
        <v>3</v>
      </c>
      <c r="B4" t="s">
        <v>55</v>
      </c>
      <c r="C4" t="s">
        <v>127</v>
      </c>
      <c r="F4">
        <f>F3</f>
        <v>1017.91</v>
      </c>
      <c r="I4" s="20">
        <v>225.08</v>
      </c>
      <c r="J4" s="21">
        <v>45121</v>
      </c>
      <c r="K4" s="20" t="s">
        <v>100</v>
      </c>
      <c r="L4" s="1" t="s">
        <v>75</v>
      </c>
      <c r="M4" s="7" t="str">
        <f>IF(K4="收_客户",INDEX(客户信息维护!C:C,MATCH(银行日记账登记!L4,客户信息维护!B:B,0)),IF(K4="支_供应商",INDEX(供应商信息维护!C:C,MATCH(银行日记账登记!L4,供应商信息维护!B:B,0)),""))</f>
        <v>TEMING CHENG</v>
      </c>
      <c r="N4" t="s">
        <v>135</v>
      </c>
      <c r="O4" s="17" t="s">
        <v>136</v>
      </c>
      <c r="P4" t="s">
        <v>273</v>
      </c>
      <c r="Q4" t="s">
        <v>79</v>
      </c>
      <c r="R4" t="s">
        <v>202</v>
      </c>
    </row>
    <row r="5" spans="1:19" hidden="1" x14ac:dyDescent="0.25">
      <c r="A5" s="29">
        <v>4</v>
      </c>
      <c r="B5" t="s">
        <v>55</v>
      </c>
      <c r="C5" t="s">
        <v>63</v>
      </c>
      <c r="D5" s="15">
        <v>45120</v>
      </c>
      <c r="E5" t="s">
        <v>86</v>
      </c>
      <c r="F5">
        <v>1127.43</v>
      </c>
      <c r="H5" s="23" t="s">
        <v>145</v>
      </c>
      <c r="I5" s="20">
        <v>1127.43</v>
      </c>
      <c r="J5" s="21">
        <v>45120</v>
      </c>
      <c r="K5" s="20" t="s">
        <v>100</v>
      </c>
      <c r="L5" s="1" t="s">
        <v>137</v>
      </c>
      <c r="M5" s="7" t="str">
        <f>IF(K5="收_客户",INDEX(客户信息维护!C:C,MATCH(银行日记账登记!L5,客户信息维护!B:B,0)),IF(K5="支_供应商",INDEX(供应商信息维护!C:C,MATCH(银行日记账登记!L5,供应商信息维护!B:B,0)),""))</f>
        <v>MULTICENTRO ORIENTAL S.L</v>
      </c>
      <c r="N5" t="s">
        <v>139</v>
      </c>
      <c r="O5" s="17" t="s">
        <v>140</v>
      </c>
      <c r="Q5" t="s">
        <v>79</v>
      </c>
      <c r="R5" t="s">
        <v>204</v>
      </c>
    </row>
    <row r="6" spans="1:19" hidden="1" x14ac:dyDescent="0.25">
      <c r="A6" s="29">
        <v>5</v>
      </c>
      <c r="B6" t="s">
        <v>55</v>
      </c>
      <c r="C6" t="s">
        <v>63</v>
      </c>
      <c r="D6" s="15">
        <v>45121</v>
      </c>
      <c r="E6" t="s">
        <v>86</v>
      </c>
      <c r="F6">
        <v>4070.68</v>
      </c>
      <c r="H6" s="23" t="s">
        <v>146</v>
      </c>
      <c r="I6" s="20">
        <v>4070.68</v>
      </c>
      <c r="J6" s="21">
        <v>45121</v>
      </c>
      <c r="K6" s="20" t="s">
        <v>100</v>
      </c>
      <c r="L6" s="1" t="s">
        <v>141</v>
      </c>
      <c r="M6" s="7" t="str">
        <f>IF(K6="收_客户",INDEX(客户信息维护!C:C,MATCH(银行日记账登记!L6,客户信息维护!B:B,0)),IF(K6="支_供应商",INDEX(供应商信息维护!C:C,MATCH(银行日记账登记!L6,供应商信息维护!B:B,0)),""))</f>
        <v>DOKI 168 S.L</v>
      </c>
      <c r="N6" t="s">
        <v>143</v>
      </c>
      <c r="O6" s="17" t="s">
        <v>144</v>
      </c>
      <c r="Q6" t="s">
        <v>79</v>
      </c>
      <c r="R6" t="s">
        <v>205</v>
      </c>
    </row>
    <row r="7" spans="1:19" hidden="1" x14ac:dyDescent="0.25">
      <c r="A7" s="29">
        <v>6</v>
      </c>
      <c r="B7" t="s">
        <v>55</v>
      </c>
      <c r="C7" t="s">
        <v>63</v>
      </c>
      <c r="D7" s="15">
        <v>45124</v>
      </c>
      <c r="E7" t="s">
        <v>86</v>
      </c>
      <c r="F7">
        <v>-12</v>
      </c>
      <c r="H7" s="23" t="s">
        <v>147</v>
      </c>
      <c r="I7">
        <v>-12</v>
      </c>
      <c r="J7" s="10">
        <v>45124</v>
      </c>
      <c r="K7" t="s">
        <v>237</v>
      </c>
      <c r="M7" s="7" t="str">
        <f>IF(K7="收_客户",INDEX(客户信息维护!C:C,MATCH(银行日记账登记!L7,客户信息维护!B:B,0)),IF(K7="支_供应商",INDEX(供应商信息维护!C:C,MATCH(银行日记账登记!L7,供应商信息维护!B:B,0)),""))</f>
        <v/>
      </c>
      <c r="P7" t="s">
        <v>265</v>
      </c>
    </row>
    <row r="8" spans="1:19" hidden="1" x14ac:dyDescent="0.25">
      <c r="A8" s="29">
        <v>7</v>
      </c>
      <c r="B8" t="s">
        <v>55</v>
      </c>
      <c r="C8" t="s">
        <v>218</v>
      </c>
      <c r="D8" s="15">
        <v>45118</v>
      </c>
      <c r="E8" t="s">
        <v>86</v>
      </c>
      <c r="F8">
        <v>168.65</v>
      </c>
      <c r="H8" s="23" t="s">
        <v>232</v>
      </c>
      <c r="I8">
        <v>168.65</v>
      </c>
      <c r="J8" s="10">
        <v>45118</v>
      </c>
      <c r="K8" t="s">
        <v>100</v>
      </c>
      <c r="L8" s="1" t="s">
        <v>149</v>
      </c>
      <c r="M8" s="7" t="str">
        <f>IF(K8="收_客户",INDEX(客户信息维护!C:C,MATCH(银行日记账登记!L8,客户信息维护!B:B,0)),IF(K8="支_供应商",INDEX(供应商信息维护!C:C,MATCH(银行日记账登记!L8,供应商信息维护!B:B,0)),""))</f>
        <v>VIDAL HOME 1688 S.L</v>
      </c>
      <c r="N8" t="s">
        <v>151</v>
      </c>
      <c r="O8" s="17" t="s">
        <v>152</v>
      </c>
      <c r="Q8" t="s">
        <v>79</v>
      </c>
      <c r="R8" t="s">
        <v>206</v>
      </c>
    </row>
    <row r="9" spans="1:19" hidden="1" x14ac:dyDescent="0.25">
      <c r="A9" s="29">
        <v>8</v>
      </c>
      <c r="B9" t="s">
        <v>55</v>
      </c>
      <c r="C9" t="s">
        <v>148</v>
      </c>
      <c r="D9" s="15">
        <v>45120</v>
      </c>
      <c r="E9" t="s">
        <v>86</v>
      </c>
      <c r="F9">
        <v>448.28</v>
      </c>
      <c r="H9" s="23" t="s">
        <v>233</v>
      </c>
      <c r="I9">
        <v>448.28</v>
      </c>
      <c r="J9" s="10">
        <v>45120</v>
      </c>
      <c r="K9" t="s">
        <v>100</v>
      </c>
      <c r="L9" s="1" t="s">
        <v>153</v>
      </c>
      <c r="M9" s="7" t="str">
        <f>IF(K9="收_客户",INDEX(客户信息维护!C:C,MATCH(银行日记账登记!L9,客户信息维护!B:B,0)),IF(K9="支_供应商",INDEX(供应商信息维护!C:C,MATCH(银行日记账登记!L9,供应商信息维护!B:B,0)),""))</f>
        <v>YAN JIANG</v>
      </c>
      <c r="N9" t="s">
        <v>156</v>
      </c>
      <c r="O9" s="17" t="s">
        <v>157</v>
      </c>
      <c r="Q9" t="s">
        <v>79</v>
      </c>
      <c r="R9" t="s">
        <v>207</v>
      </c>
    </row>
    <row r="10" spans="1:19" hidden="1" x14ac:dyDescent="0.25">
      <c r="A10" s="29">
        <v>9</v>
      </c>
      <c r="B10" t="s">
        <v>55</v>
      </c>
      <c r="C10" t="s">
        <v>148</v>
      </c>
      <c r="D10" s="15">
        <v>45120</v>
      </c>
      <c r="E10" t="s">
        <v>86</v>
      </c>
      <c r="F10">
        <v>1000.63</v>
      </c>
      <c r="H10" s="23" t="s">
        <v>235</v>
      </c>
      <c r="I10">
        <v>1000.63</v>
      </c>
      <c r="J10" s="10">
        <v>45120</v>
      </c>
      <c r="K10" t="s">
        <v>100</v>
      </c>
      <c r="L10" s="1" t="s">
        <v>161</v>
      </c>
      <c r="M10" s="7" t="str">
        <f>IF(K10="收_客户",INDEX(客户信息维护!C:C,MATCH(银行日记账登记!L10,客户信息维护!B:B,0)),IF(K10="支_供应商",INDEX(供应商信息维护!C:C,MATCH(银行日记账登记!L10,供应商信息维护!B:B,0)),""))</f>
        <v>LIAN FEN SU</v>
      </c>
      <c r="N10" t="s">
        <v>163</v>
      </c>
      <c r="O10" s="17" t="s">
        <v>164</v>
      </c>
      <c r="P10" t="s">
        <v>168</v>
      </c>
      <c r="Q10" t="s">
        <v>79</v>
      </c>
      <c r="R10" t="s">
        <v>208</v>
      </c>
    </row>
    <row r="11" spans="1:19" hidden="1" x14ac:dyDescent="0.25">
      <c r="A11" s="29">
        <v>10</v>
      </c>
      <c r="B11" t="s">
        <v>55</v>
      </c>
      <c r="C11" t="s">
        <v>148</v>
      </c>
      <c r="D11" s="15">
        <v>45120</v>
      </c>
      <c r="E11" t="s">
        <v>86</v>
      </c>
      <c r="F11">
        <v>1501.35</v>
      </c>
      <c r="H11" s="23" t="s">
        <v>234</v>
      </c>
      <c r="I11">
        <v>1501.35</v>
      </c>
      <c r="J11" s="10">
        <v>45120</v>
      </c>
      <c r="K11" t="s">
        <v>100</v>
      </c>
      <c r="L11" s="1" t="s">
        <v>165</v>
      </c>
      <c r="M11" s="7" t="str">
        <f>IF(K11="收_客户",INDEX(客户信息维护!C:C,MATCH(银行日记账登记!L11,客户信息维护!B:B,0)),IF(K11="支_供应商",INDEX(供应商信息维护!C:C,MATCH(银行日记账登记!L11,供应商信息维护!B:B,0)),""))</f>
        <v>JIAYUAN CHEN</v>
      </c>
      <c r="N11" t="s">
        <v>167</v>
      </c>
      <c r="O11" s="17" t="s">
        <v>169</v>
      </c>
      <c r="P11" t="s">
        <v>168</v>
      </c>
      <c r="Q11" t="s">
        <v>79</v>
      </c>
      <c r="R11" t="s">
        <v>209</v>
      </c>
    </row>
    <row r="12" spans="1:19" hidden="1" x14ac:dyDescent="0.25">
      <c r="A12" s="29">
        <v>11</v>
      </c>
      <c r="B12" t="s">
        <v>55</v>
      </c>
      <c r="C12" t="s">
        <v>148</v>
      </c>
      <c r="D12" s="15">
        <v>45121</v>
      </c>
      <c r="E12" t="s">
        <v>86</v>
      </c>
      <c r="F12">
        <v>2001.89</v>
      </c>
      <c r="H12" s="23" t="s">
        <v>236</v>
      </c>
      <c r="I12">
        <v>2001.89</v>
      </c>
      <c r="J12" s="10">
        <v>45121</v>
      </c>
      <c r="K12" t="s">
        <v>100</v>
      </c>
      <c r="L12" s="1" t="s">
        <v>170</v>
      </c>
      <c r="M12" s="7" t="str">
        <f>IF(K12="收_客户",INDEX(客户信息维护!C:C,MATCH(银行日记账登记!L12,客户信息维护!B:B,0)),IF(K12="支_供应商",INDEX(供应商信息维护!C:C,MATCH(银行日记账登记!L12,供应商信息维护!B:B,0)),""))</f>
        <v>QIAOYI JIN</v>
      </c>
      <c r="N12" t="s">
        <v>173</v>
      </c>
      <c r="O12" s="17" t="s">
        <v>174</v>
      </c>
      <c r="P12" t="s">
        <v>168</v>
      </c>
      <c r="Q12" t="s">
        <v>79</v>
      </c>
      <c r="R12" t="s">
        <v>210</v>
      </c>
    </row>
    <row r="13" spans="1:19" hidden="1" x14ac:dyDescent="0.25">
      <c r="A13" s="29">
        <v>12</v>
      </c>
      <c r="B13" t="s">
        <v>60</v>
      </c>
      <c r="C13" t="s">
        <v>66</v>
      </c>
      <c r="E13" t="s">
        <v>90</v>
      </c>
      <c r="I13">
        <v>1351.52</v>
      </c>
      <c r="J13" s="10">
        <v>45120</v>
      </c>
      <c r="K13" t="s">
        <v>100</v>
      </c>
      <c r="L13" s="36">
        <v>513421246</v>
      </c>
      <c r="M13" s="7" t="e">
        <f>IF(K13="收_客户",INDEX(客户信息维护!C:C,MATCH(银行日记账登记!L13,客户信息维护!B:B,0)),IF(K13="支_供应商",INDEX(供应商信息维护!C:C,MATCH(银行日记账登记!L13,供应商信息维护!B:B,0)),""))</f>
        <v>#N/A</v>
      </c>
      <c r="N13" t="s">
        <v>176</v>
      </c>
      <c r="O13" s="17" t="s">
        <v>177</v>
      </c>
      <c r="Q13" t="s">
        <v>79</v>
      </c>
      <c r="R13" t="s">
        <v>211</v>
      </c>
    </row>
    <row r="14" spans="1:19" hidden="1" x14ac:dyDescent="0.25">
      <c r="A14" s="29">
        <v>13</v>
      </c>
      <c r="B14" t="s">
        <v>60</v>
      </c>
      <c r="C14" t="s">
        <v>66</v>
      </c>
      <c r="E14" t="s">
        <v>90</v>
      </c>
      <c r="I14">
        <v>1602.28</v>
      </c>
      <c r="J14" s="10">
        <v>45120</v>
      </c>
      <c r="K14" t="s">
        <v>100</v>
      </c>
      <c r="L14" s="1" t="s">
        <v>178</v>
      </c>
      <c r="M14" s="7" t="str">
        <f>IF(K14="收_客户",INDEX(客户信息维护!C:C,MATCH(银行日记账登记!L14,客户信息维护!B:B,0)),IF(K14="支_供应商",INDEX(供应商信息维护!C:C,MATCH(银行日记账登记!L14,供应商信息维护!B:B,0)),""))</f>
        <v>NEWAX UNIVERSAL TRADE UNIPESSOAL LDA 杨建华</v>
      </c>
      <c r="N14" t="s">
        <v>180</v>
      </c>
      <c r="O14" s="17" t="s">
        <v>181</v>
      </c>
      <c r="Q14" t="s">
        <v>79</v>
      </c>
      <c r="R14" t="s">
        <v>212</v>
      </c>
    </row>
    <row r="15" spans="1:19" hidden="1" x14ac:dyDescent="0.25">
      <c r="A15" s="29">
        <v>14</v>
      </c>
      <c r="B15" t="s">
        <v>60</v>
      </c>
      <c r="C15" t="s">
        <v>66</v>
      </c>
      <c r="E15" t="s">
        <v>90</v>
      </c>
      <c r="I15">
        <v>1982.79</v>
      </c>
      <c r="J15" s="10">
        <v>45120</v>
      </c>
      <c r="K15" t="s">
        <v>100</v>
      </c>
      <c r="L15" s="1" t="s">
        <v>182</v>
      </c>
      <c r="M15" s="7" t="str">
        <f>IF(K15="收_客户",INDEX(客户信息维护!C:C,MATCH(银行日记账登记!L15,客户信息维护!B:B,0)),IF(K15="支_供应商",INDEX(供应商信息维护!C:C,MATCH(银行日记账登记!L15,供应商信息维护!B:B,0)),""))</f>
        <v>BULICIO DOS DEUSES LDA 君亮 小峰新店</v>
      </c>
      <c r="N15" t="s">
        <v>184</v>
      </c>
      <c r="O15" s="17" t="s">
        <v>185</v>
      </c>
      <c r="Q15" t="s">
        <v>79</v>
      </c>
      <c r="R15" t="s">
        <v>213</v>
      </c>
    </row>
    <row r="16" spans="1:19" hidden="1" x14ac:dyDescent="0.25">
      <c r="A16" s="29">
        <v>15</v>
      </c>
      <c r="B16" t="s">
        <v>60</v>
      </c>
      <c r="C16" t="s">
        <v>66</v>
      </c>
      <c r="E16" t="s">
        <v>90</v>
      </c>
      <c r="I16">
        <v>5102.12</v>
      </c>
      <c r="J16" s="10">
        <v>45121</v>
      </c>
      <c r="K16" t="s">
        <v>100</v>
      </c>
      <c r="L16" s="1" t="s">
        <v>186</v>
      </c>
      <c r="M16" s="7" t="str">
        <f>IF(K16="收_客户",INDEX(客户信息维护!C:C,MATCH(银行日记账登记!L16,客户信息维护!B:B,0)),IF(K16="支_供应商",INDEX(供应商信息维护!C:C,MATCH(银行日记账登记!L16,供应商信息维护!B:B,0)),""))</f>
        <v>ORIENTE PERFEITO LDA  戴海亮</v>
      </c>
      <c r="N16" t="s">
        <v>188</v>
      </c>
      <c r="O16" s="17" t="s">
        <v>189</v>
      </c>
      <c r="Q16" t="s">
        <v>79</v>
      </c>
      <c r="R16" t="s">
        <v>214</v>
      </c>
    </row>
    <row r="17" spans="1:18" hidden="1" x14ac:dyDescent="0.25">
      <c r="A17" s="29">
        <v>16</v>
      </c>
      <c r="B17" t="s">
        <v>60</v>
      </c>
      <c r="C17" t="s">
        <v>66</v>
      </c>
      <c r="E17" t="s">
        <v>86</v>
      </c>
      <c r="I17">
        <v>1888.8</v>
      </c>
      <c r="J17" s="10">
        <v>45121</v>
      </c>
      <c r="K17" t="s">
        <v>100</v>
      </c>
      <c r="L17" s="1" t="s">
        <v>190</v>
      </c>
      <c r="M17" s="7" t="str">
        <f>IF(K17="收_客户",INDEX(客户信息维护!C:C,MATCH(银行日记账登记!L17,客户信息维护!B:B,0)),IF(K17="支_供应商",INDEX(供应商信息维护!C:C,MATCH(银行日记账登记!L17,供应商信息维护!B:B,0)),""))</f>
        <v>TREVO SOBERANO LDA</v>
      </c>
      <c r="N17" t="s">
        <v>192</v>
      </c>
      <c r="O17" s="17" t="s">
        <v>193</v>
      </c>
      <c r="Q17" t="s">
        <v>79</v>
      </c>
      <c r="R17" t="s">
        <v>215</v>
      </c>
    </row>
    <row r="18" spans="1:18" hidden="1" x14ac:dyDescent="0.25">
      <c r="A18" s="29">
        <v>17</v>
      </c>
      <c r="B18" t="s">
        <v>60</v>
      </c>
      <c r="C18" t="s">
        <v>66</v>
      </c>
      <c r="E18" t="s">
        <v>86</v>
      </c>
      <c r="I18">
        <v>1356.48</v>
      </c>
      <c r="J18" s="10">
        <v>45121</v>
      </c>
      <c r="K18" t="s">
        <v>100</v>
      </c>
      <c r="L18" s="1" t="s">
        <v>194</v>
      </c>
      <c r="M18" s="7" t="str">
        <f>IF(K18="收_客户",INDEX(客户信息维护!C:C,MATCH(银行日记账登记!L18,客户信息维护!B:B,0)),IF(K18="支_供应商",INDEX(供应商信息维护!C:C,MATCH(银行日记账登记!L18,供应商信息维护!B:B,0)),""))</f>
        <v>AURORA CELESTIAL UNIPESSOAL LDA 徐正益</v>
      </c>
      <c r="N18" t="s">
        <v>196</v>
      </c>
      <c r="O18" s="17" t="s">
        <v>197</v>
      </c>
      <c r="Q18" t="s">
        <v>79</v>
      </c>
      <c r="R18" t="s">
        <v>216</v>
      </c>
    </row>
    <row r="19" spans="1:18" hidden="1" x14ac:dyDescent="0.25">
      <c r="A19" s="29">
        <v>18</v>
      </c>
      <c r="B19" t="s">
        <v>60</v>
      </c>
      <c r="C19" t="s">
        <v>66</v>
      </c>
      <c r="E19" t="s">
        <v>90</v>
      </c>
      <c r="I19">
        <v>6372.43</v>
      </c>
      <c r="J19" s="10">
        <v>45122</v>
      </c>
      <c r="K19" t="s">
        <v>100</v>
      </c>
      <c r="L19" s="1" t="s">
        <v>198</v>
      </c>
      <c r="M19" s="7" t="str">
        <f>IF(K19="收_客户",INDEX(客户信息维护!C:C,MATCH(银行日记账登记!L19,客户信息维护!B:B,0)),IF(K19="支_供应商",INDEX(供应商信息维护!C:C,MATCH(银行日记账登记!L19,供应商信息维护!B:B,0)),""))</f>
        <v>AGENDA MELODICA LDA 叶翱翔</v>
      </c>
      <c r="N19" t="s">
        <v>200</v>
      </c>
      <c r="O19" s="17" t="s">
        <v>201</v>
      </c>
      <c r="Q19" t="s">
        <v>79</v>
      </c>
      <c r="R19" t="s">
        <v>217</v>
      </c>
    </row>
    <row r="20" spans="1:18" hidden="1" x14ac:dyDescent="0.25">
      <c r="A20" s="29">
        <v>19</v>
      </c>
      <c r="B20" t="s">
        <v>55</v>
      </c>
      <c r="C20" t="s">
        <v>127</v>
      </c>
      <c r="D20" s="15">
        <v>45121</v>
      </c>
      <c r="E20" t="s">
        <v>86</v>
      </c>
      <c r="F20">
        <v>-124.21</v>
      </c>
      <c r="H20" s="23" t="s">
        <v>220</v>
      </c>
      <c r="I20">
        <v>-124.21</v>
      </c>
      <c r="J20" s="10">
        <v>45121</v>
      </c>
      <c r="K20" t="s">
        <v>237</v>
      </c>
      <c r="L20" s="1" t="s">
        <v>238</v>
      </c>
      <c r="M20" s="7" t="s">
        <v>240</v>
      </c>
      <c r="N20" t="s">
        <v>241</v>
      </c>
      <c r="O20" s="17" t="s">
        <v>242</v>
      </c>
    </row>
    <row r="21" spans="1:18" hidden="1" x14ac:dyDescent="0.25">
      <c r="A21" s="29">
        <v>20</v>
      </c>
      <c r="B21" t="s">
        <v>55</v>
      </c>
      <c r="C21" t="s">
        <v>127</v>
      </c>
      <c r="D21" s="15">
        <v>45122</v>
      </c>
      <c r="E21" t="s">
        <v>86</v>
      </c>
      <c r="F21">
        <v>886</v>
      </c>
      <c r="H21" s="25" t="s">
        <v>221</v>
      </c>
      <c r="I21">
        <v>886</v>
      </c>
      <c r="J21" s="10">
        <v>45122</v>
      </c>
      <c r="K21" t="s">
        <v>100</v>
      </c>
      <c r="L21" s="1" t="s">
        <v>223</v>
      </c>
      <c r="M21" s="7" t="str">
        <f>IF(K21="收_客户",INDEX(客户信息维护!C:C,MATCH(银行日记账登记!L21,客户信息维护!B:B,0)),IF(K21="支_供应商",INDEX(供应商信息维护!C:C,MATCH(银行日记账登记!L21,供应商信息维护!B:B,0)),""))</f>
        <v>YCADRI 2010 S.L.U</v>
      </c>
      <c r="N21" t="s">
        <v>225</v>
      </c>
      <c r="O21" s="17" t="s">
        <v>226</v>
      </c>
      <c r="Q21" t="s">
        <v>79</v>
      </c>
      <c r="R21" t="s">
        <v>251</v>
      </c>
    </row>
    <row r="22" spans="1:18" hidden="1" x14ac:dyDescent="0.25">
      <c r="A22" s="29">
        <v>21</v>
      </c>
      <c r="B22" t="s">
        <v>55</v>
      </c>
      <c r="C22" t="s">
        <v>127</v>
      </c>
      <c r="D22" s="15">
        <v>45122</v>
      </c>
      <c r="E22" t="s">
        <v>86</v>
      </c>
      <c r="F22">
        <v>1035.8499999999999</v>
      </c>
      <c r="H22" s="23" t="s">
        <v>222</v>
      </c>
      <c r="I22">
        <v>1035.8499999999999</v>
      </c>
      <c r="J22" s="10">
        <v>45122</v>
      </c>
      <c r="K22" t="s">
        <v>100</v>
      </c>
      <c r="L22" s="1" t="s">
        <v>227</v>
      </c>
      <c r="M22" s="7" t="str">
        <f>IF(K22="收_客户",INDEX(客户信息维护!C:C,MATCH(银行日记账登记!L22,客户信息维护!B:B,0)),IF(K22="支_供应商",INDEX(供应商信息维护!C:C,MATCH(银行日记账登记!L22,供应商信息维护!B:B,0)),""))</f>
        <v>HAIPING LIU</v>
      </c>
      <c r="N22" t="s">
        <v>229</v>
      </c>
      <c r="O22" s="17" t="s">
        <v>230</v>
      </c>
      <c r="Q22" t="s">
        <v>79</v>
      </c>
      <c r="R22" t="s">
        <v>252</v>
      </c>
    </row>
    <row r="23" spans="1:18" hidden="1" x14ac:dyDescent="0.25">
      <c r="A23" s="29">
        <v>22</v>
      </c>
      <c r="B23" t="s">
        <v>55</v>
      </c>
      <c r="C23" t="s">
        <v>127</v>
      </c>
      <c r="D23" s="15">
        <v>45124</v>
      </c>
      <c r="E23" t="s">
        <v>86</v>
      </c>
      <c r="F23">
        <v>-562.01</v>
      </c>
      <c r="H23" s="23" t="s">
        <v>245</v>
      </c>
      <c r="I23">
        <v>-562.01</v>
      </c>
      <c r="M23" s="7" t="str">
        <f>IF(K23="收_客户",INDEX(客户信息维护!C:C,MATCH(银行日记账登记!L23,客户信息维护!B:B,0)),IF(K23="支_供应商",INDEX(供应商信息维护!C:C,MATCH(银行日记账登记!L23,供应商信息维护!B:B,0)),""))</f>
        <v/>
      </c>
    </row>
    <row r="24" spans="1:18" hidden="1" x14ac:dyDescent="0.25">
      <c r="A24" s="29">
        <v>23</v>
      </c>
      <c r="B24" t="s">
        <v>55</v>
      </c>
      <c r="C24" t="s">
        <v>127</v>
      </c>
      <c r="D24" s="15">
        <v>45124</v>
      </c>
      <c r="E24" t="s">
        <v>86</v>
      </c>
      <c r="F24">
        <v>1234.1099999999999</v>
      </c>
      <c r="H24" s="23" t="s">
        <v>243</v>
      </c>
      <c r="I24">
        <v>1234.1099999999999</v>
      </c>
      <c r="J24" s="10">
        <v>45124</v>
      </c>
      <c r="K24" t="s">
        <v>100</v>
      </c>
      <c r="L24" s="1" t="s">
        <v>247</v>
      </c>
      <c r="M24" s="7" t="str">
        <f>IF(K24="收_客户",INDEX(客户信息维护!C:C,MATCH(银行日记账登记!L24,客户信息维护!B:B,0)),IF(K24="支_供应商",INDEX(供应商信息维护!C:C,MATCH(银行日记账登记!L24,供应商信息维护!B:B,0)),""))</f>
        <v>YAN AIMIN, YAN SHAOCHANG Y YAN XIURONG</v>
      </c>
      <c r="N24" t="s">
        <v>249</v>
      </c>
      <c r="O24" s="17" t="s">
        <v>250</v>
      </c>
      <c r="Q24" t="s">
        <v>79</v>
      </c>
      <c r="R24" t="s">
        <v>253</v>
      </c>
    </row>
    <row r="25" spans="1:18" hidden="1" x14ac:dyDescent="0.25">
      <c r="A25" s="29">
        <v>24</v>
      </c>
      <c r="B25" t="s">
        <v>55</v>
      </c>
      <c r="C25" t="s">
        <v>127</v>
      </c>
      <c r="D25" s="15">
        <v>45124</v>
      </c>
      <c r="E25" t="s">
        <v>86</v>
      </c>
      <c r="F25">
        <v>-24314.73</v>
      </c>
      <c r="H25" s="23" t="s">
        <v>244</v>
      </c>
      <c r="I25">
        <v>-24314.73</v>
      </c>
      <c r="M25" s="7" t="str">
        <f>IF(K25="收_客户",INDEX(客户信息维护!C:C,MATCH(银行日记账登记!L25,客户信息维护!B:B,0)),IF(K25="支_供应商",INDEX(供应商信息维护!C:C,MATCH(银行日记账登记!L25,供应商信息维护!B:B,0)),""))</f>
        <v/>
      </c>
    </row>
    <row r="26" spans="1:18" hidden="1" x14ac:dyDescent="0.25">
      <c r="A26" s="29">
        <v>25</v>
      </c>
      <c r="B26" t="s">
        <v>55</v>
      </c>
      <c r="C26" t="s">
        <v>148</v>
      </c>
      <c r="I26">
        <v>-5101</v>
      </c>
      <c r="J26" s="10">
        <v>45124</v>
      </c>
      <c r="K26" t="s">
        <v>263</v>
      </c>
      <c r="N26" t="s">
        <v>358</v>
      </c>
    </row>
    <row r="27" spans="1:18" hidden="1" x14ac:dyDescent="0.25">
      <c r="A27" s="29">
        <v>26</v>
      </c>
      <c r="B27" t="s">
        <v>55</v>
      </c>
      <c r="C27" t="s">
        <v>63</v>
      </c>
      <c r="I27">
        <v>533.42999999999995</v>
      </c>
      <c r="J27" s="10">
        <v>45124</v>
      </c>
      <c r="K27" t="s">
        <v>100</v>
      </c>
      <c r="L27" s="1" t="s">
        <v>266</v>
      </c>
      <c r="M27" s="7" t="str">
        <f>IF(K27="收_客户",INDEX(客户信息维护!C:C,MATCH(银行日记账登记!L27,客户信息维护!B:B,0)),IF(K27="支_供应商",INDEX(供应商信息维护!C:C,MATCH(银行日记账登记!L27,供应商信息维护!B:B,0)),""))</f>
        <v>JUHE YAN-XIN HE C.B</v>
      </c>
      <c r="N27" t="s">
        <v>268</v>
      </c>
      <c r="Q27" t="s">
        <v>79</v>
      </c>
      <c r="R27" t="s">
        <v>269</v>
      </c>
    </row>
    <row r="28" spans="1:18" hidden="1" x14ac:dyDescent="0.25">
      <c r="A28" s="29">
        <v>27</v>
      </c>
      <c r="B28" t="s">
        <v>55</v>
      </c>
      <c r="C28" t="s">
        <v>127</v>
      </c>
      <c r="I28">
        <v>345.23</v>
      </c>
      <c r="J28" s="10">
        <v>45125</v>
      </c>
      <c r="K28" t="s">
        <v>100</v>
      </c>
      <c r="L28" s="1" t="s">
        <v>270</v>
      </c>
      <c r="M28" s="7" t="str">
        <f>IF(K28="收_客户",INDEX(客户信息维护!C:C,MATCH(银行日记账登记!L28,客户信息维护!B:B,0)),IF(K28="支_供应商",INDEX(供应商信息维护!C:C,MATCH(银行日记账登记!L28,供应商信息维护!B:B,0)),""))</f>
        <v>CAIWEI CHEN</v>
      </c>
      <c r="N28" t="s">
        <v>272</v>
      </c>
      <c r="P28" t="s">
        <v>273</v>
      </c>
      <c r="Q28" t="s">
        <v>79</v>
      </c>
      <c r="R28" t="s">
        <v>274</v>
      </c>
    </row>
    <row r="29" spans="1:18" hidden="1" x14ac:dyDescent="0.25">
      <c r="A29" s="29">
        <v>28</v>
      </c>
      <c r="B29" t="s">
        <v>55</v>
      </c>
      <c r="C29" t="s">
        <v>127</v>
      </c>
      <c r="I29">
        <v>514.79999999999995</v>
      </c>
      <c r="J29" s="10">
        <v>45125</v>
      </c>
      <c r="K29" t="s">
        <v>100</v>
      </c>
      <c r="L29" s="1" t="s">
        <v>275</v>
      </c>
      <c r="M29" s="7" t="str">
        <f>IF(K29="收_客户",INDEX(客户信息维护!C:C,MATCH(银行日记账登记!L29,客户信息维护!B:B,0)),IF(K29="支_供应商",INDEX(供应商信息维护!C:C,MATCH(银行日记账登记!L29,供应商信息维护!B:B,0)),""))</f>
        <v>TE ESPERAMOS S.L.</v>
      </c>
      <c r="N29" t="s">
        <v>277</v>
      </c>
      <c r="Q29" t="s">
        <v>79</v>
      </c>
      <c r="R29" t="s">
        <v>278</v>
      </c>
    </row>
    <row r="30" spans="1:18" hidden="1" x14ac:dyDescent="0.25">
      <c r="A30" s="29">
        <v>29</v>
      </c>
      <c r="B30" t="s">
        <v>55</v>
      </c>
      <c r="C30" t="s">
        <v>127</v>
      </c>
      <c r="I30">
        <v>561.73</v>
      </c>
      <c r="J30" s="10">
        <v>45125</v>
      </c>
      <c r="K30" t="s">
        <v>100</v>
      </c>
      <c r="L30" s="1" t="s">
        <v>279</v>
      </c>
      <c r="M30" s="7" t="str">
        <f>IF(K30="收_客户",INDEX(客户信息维护!C:C,MATCH(银行日记账登记!L30,客户信息维护!B:B,0)),IF(K30="支_供应商",INDEX(供应商信息维护!C:C,MATCH(银行日记账登记!L30,供应商信息维护!B:B,0)),""))</f>
        <v>HUADALI S.L</v>
      </c>
      <c r="N30" t="s">
        <v>281</v>
      </c>
      <c r="Q30" t="s">
        <v>79</v>
      </c>
      <c r="R30" t="s">
        <v>282</v>
      </c>
    </row>
    <row r="31" spans="1:18" hidden="1" x14ac:dyDescent="0.25">
      <c r="A31" s="29">
        <v>30</v>
      </c>
      <c r="B31" t="s">
        <v>55</v>
      </c>
      <c r="C31" t="s">
        <v>63</v>
      </c>
      <c r="I31">
        <v>-10000</v>
      </c>
      <c r="J31" s="10">
        <v>45125</v>
      </c>
      <c r="K31" t="s">
        <v>263</v>
      </c>
      <c r="M31" s="7" t="str">
        <f>IF(K31="收_客户",INDEX(客户信息维护!C:C,MATCH(银行日记账登记!L31,客户信息维护!B:B,0)),IF(K31="支_供应商",INDEX(供应商信息维护!C:C,MATCH(银行日记账登记!L31,供应商信息维护!B:B,0)),""))</f>
        <v/>
      </c>
      <c r="N31" t="s">
        <v>358</v>
      </c>
    </row>
    <row r="32" spans="1:18" hidden="1" x14ac:dyDescent="0.25">
      <c r="A32" s="29">
        <v>31</v>
      </c>
      <c r="B32" t="s">
        <v>55</v>
      </c>
      <c r="C32" t="s">
        <v>127</v>
      </c>
      <c r="I32">
        <v>5100</v>
      </c>
      <c r="J32" s="10">
        <v>45126</v>
      </c>
      <c r="K32" t="s">
        <v>263</v>
      </c>
      <c r="M32" s="7" t="str">
        <f>IF(K32="收_客户",INDEX(客户信息维护!C:C,MATCH(银行日记账登记!L32,客户信息维护!B:B,0)),IF(K32="支_供应商",INDEX(供应商信息维护!C:C,MATCH(银行日记账登记!L32,供应商信息维护!B:B,0)),""))</f>
        <v/>
      </c>
      <c r="N32" t="s">
        <v>358</v>
      </c>
    </row>
    <row r="33" spans="1:18" hidden="1" x14ac:dyDescent="0.25">
      <c r="A33" s="29">
        <v>32</v>
      </c>
      <c r="B33" t="s">
        <v>55</v>
      </c>
      <c r="C33" t="s">
        <v>127</v>
      </c>
      <c r="I33">
        <v>178.27</v>
      </c>
      <c r="J33" s="10">
        <v>45126</v>
      </c>
      <c r="K33" t="s">
        <v>100</v>
      </c>
      <c r="L33" s="1" t="s">
        <v>283</v>
      </c>
      <c r="M33" s="7" t="str">
        <f>IF(K33="收_客户",INDEX(客户信息维护!C:C,MATCH(银行日记账登记!L33,客户信息维护!B:B,0)),IF(K33="支_供应商",INDEX(供应商信息维护!C:C,MATCH(银行日记账登记!L33,供应商信息维护!B:B,0)),""))</f>
        <v>GUOFENG LIANG</v>
      </c>
      <c r="N33" t="s">
        <v>285</v>
      </c>
      <c r="Q33" t="s">
        <v>79</v>
      </c>
      <c r="R33" t="s">
        <v>286</v>
      </c>
    </row>
    <row r="34" spans="1:18" hidden="1" x14ac:dyDescent="0.25">
      <c r="A34" s="29">
        <v>33</v>
      </c>
      <c r="B34" t="s">
        <v>55</v>
      </c>
      <c r="C34" t="s">
        <v>63</v>
      </c>
      <c r="I34">
        <v>399.8</v>
      </c>
      <c r="J34" s="10">
        <v>45126</v>
      </c>
      <c r="K34" t="s">
        <v>100</v>
      </c>
      <c r="L34" s="1" t="s">
        <v>287</v>
      </c>
      <c r="M34" s="7" t="str">
        <f>IF(K34="收_客户",INDEX(客户信息维护!C:C,MATCH(银行日记账登记!L34,客户信息维护!B:B,0)),IF(K34="支_供应商",INDEX(供应商信息维护!C:C,MATCH(银行日记账登记!L34,供应商信息维护!B:B,0)),""))</f>
        <v>GRAN BAZAR HAO LI S.L.</v>
      </c>
      <c r="N34" t="s">
        <v>289</v>
      </c>
      <c r="Q34" t="s">
        <v>79</v>
      </c>
      <c r="R34" t="s">
        <v>290</v>
      </c>
    </row>
    <row r="35" spans="1:18" hidden="1" x14ac:dyDescent="0.25">
      <c r="A35" s="29">
        <v>34</v>
      </c>
      <c r="B35" t="s">
        <v>55</v>
      </c>
      <c r="C35" t="s">
        <v>63</v>
      </c>
      <c r="I35">
        <v>220.33</v>
      </c>
      <c r="J35" s="10">
        <v>45126</v>
      </c>
      <c r="K35" t="s">
        <v>100</v>
      </c>
      <c r="L35" s="1" t="s">
        <v>291</v>
      </c>
      <c r="M35" s="7" t="str">
        <f>IF(K35="收_客户",INDEX(客户信息维护!C:C,MATCH(银行日记账登记!L35,客户信息维护!B:B,0)),IF(K35="支_供应商",INDEX(供应商信息维护!C:C,MATCH(银行日记账登记!L35,供应商信息维护!B:B,0)),""))</f>
        <v>WYR HIPERMARKET S.L</v>
      </c>
      <c r="N35" t="s">
        <v>293</v>
      </c>
      <c r="Q35" t="s">
        <v>79</v>
      </c>
      <c r="R35" t="s">
        <v>294</v>
      </c>
    </row>
    <row r="36" spans="1:18" hidden="1" x14ac:dyDescent="0.25">
      <c r="A36" s="29">
        <v>35</v>
      </c>
      <c r="B36" t="s">
        <v>55</v>
      </c>
      <c r="C36" t="s">
        <v>63</v>
      </c>
      <c r="I36">
        <v>981.77</v>
      </c>
      <c r="J36" s="10">
        <v>45126</v>
      </c>
      <c r="K36" t="s">
        <v>100</v>
      </c>
      <c r="L36" s="1" t="s">
        <v>295</v>
      </c>
      <c r="M36" s="7" t="str">
        <f>IF(K36="收_客户",INDEX(客户信息维护!C:C,MATCH(银行日记账登记!L36,客户信息维护!B:B,0)),IF(K36="支_供应商",INDEX(供应商信息维护!C:C,MATCH(银行日记账登记!L36,供应商信息维护!B:B,0)),""))</f>
        <v>XIAOJUN CHEN</v>
      </c>
      <c r="N36" t="s">
        <v>297</v>
      </c>
      <c r="Q36" t="s">
        <v>79</v>
      </c>
      <c r="R36" t="s">
        <v>298</v>
      </c>
    </row>
    <row r="37" spans="1:18" hidden="1" x14ac:dyDescent="0.25">
      <c r="A37" s="29">
        <v>36</v>
      </c>
      <c r="B37" t="s">
        <v>55</v>
      </c>
      <c r="C37" t="s">
        <v>63</v>
      </c>
      <c r="I37">
        <v>2046.86</v>
      </c>
      <c r="J37" s="10">
        <v>45126</v>
      </c>
      <c r="K37" t="s">
        <v>100</v>
      </c>
      <c r="L37" s="1" t="s">
        <v>299</v>
      </c>
      <c r="M37" s="7" t="str">
        <f>IF(K37="收_客户",INDEX(客户信息维护!C:C,MATCH(银行日记账登记!L37,客户信息维护!B:B,0)),IF(K37="支_供应商",INDEX(供应商信息维护!C:C,MATCH(银行日记账登记!L37,供应商信息维护!B:B,0)),""))</f>
        <v>REY MARKET 2021 S.L.</v>
      </c>
      <c r="N37" t="s">
        <v>302</v>
      </c>
      <c r="P37" t="s">
        <v>303</v>
      </c>
    </row>
    <row r="38" spans="1:18" hidden="1" x14ac:dyDescent="0.25">
      <c r="A38" s="29">
        <v>37</v>
      </c>
      <c r="B38" t="s">
        <v>55</v>
      </c>
      <c r="C38" t="s">
        <v>63</v>
      </c>
      <c r="I38">
        <v>1330</v>
      </c>
      <c r="J38" s="10">
        <v>45126</v>
      </c>
      <c r="K38" t="s">
        <v>100</v>
      </c>
      <c r="L38" s="1" t="s">
        <v>304</v>
      </c>
      <c r="M38" s="7" t="str">
        <f>IF(K38="收_客户",INDEX(客户信息维护!C:C,MATCH(银行日记账登记!L38,客户信息维护!B:B,0)),IF(K38="支_供应商",INDEX(供应商信息维护!C:C,MATCH(银行日记账登记!L38,供应商信息维护!B:B,0)),""))</f>
        <v>EL AZRAK MERJANI HAMZA</v>
      </c>
      <c r="N38" t="s">
        <v>306</v>
      </c>
      <c r="P38" t="s">
        <v>303</v>
      </c>
    </row>
    <row r="39" spans="1:18" hidden="1" x14ac:dyDescent="0.25">
      <c r="A39" s="29">
        <v>38</v>
      </c>
      <c r="B39" t="s">
        <v>55</v>
      </c>
      <c r="C39" t="s">
        <v>127</v>
      </c>
      <c r="I39">
        <v>493.47</v>
      </c>
      <c r="J39" s="10">
        <v>45126</v>
      </c>
      <c r="K39" t="s">
        <v>100</v>
      </c>
      <c r="L39" s="1" t="s">
        <v>307</v>
      </c>
      <c r="M39" s="7" t="str">
        <f>IF(K39="收_客户",INDEX(客户信息维护!C:C,MATCH(银行日记账登记!L39,客户信息维护!B:B,0)),IF(K39="支_供应商",INDEX(供应商信息维护!C:C,MATCH(银行日记账登记!L39,供应商信息维护!B:B,0)),""))</f>
        <v>WEI JIONG LIU LIN</v>
      </c>
      <c r="N39" t="s">
        <v>309</v>
      </c>
      <c r="Q39" t="s">
        <v>79</v>
      </c>
      <c r="R39" t="s">
        <v>324</v>
      </c>
    </row>
    <row r="40" spans="1:18" hidden="1" x14ac:dyDescent="0.25">
      <c r="A40" s="29">
        <v>39</v>
      </c>
      <c r="B40" t="s">
        <v>55</v>
      </c>
      <c r="C40" t="s">
        <v>127</v>
      </c>
      <c r="I40">
        <v>615.86</v>
      </c>
      <c r="J40" s="10">
        <v>45126</v>
      </c>
      <c r="K40" t="s">
        <v>100</v>
      </c>
      <c r="L40" s="1" t="s">
        <v>310</v>
      </c>
      <c r="M40" s="7" t="str">
        <f>IF(K40="收_客户",INDEX(客户信息维护!C:C,MATCH(银行日记账登记!L40,客户信息维护!B:B,0)),IF(K40="支_供应商",INDEX(供应商信息维护!C:C,MATCH(银行日记账登记!L40,供应商信息维护!B:B,0)),""))</f>
        <v>NHAFKRA 050 S.L</v>
      </c>
      <c r="N40" t="s">
        <v>312</v>
      </c>
      <c r="Q40" t="s">
        <v>79</v>
      </c>
      <c r="R40" t="s">
        <v>325</v>
      </c>
    </row>
    <row r="41" spans="1:18" hidden="1" x14ac:dyDescent="0.25">
      <c r="A41" s="29">
        <v>40</v>
      </c>
      <c r="B41" t="s">
        <v>55</v>
      </c>
      <c r="C41" t="s">
        <v>127</v>
      </c>
      <c r="I41">
        <v>1217.1600000000001</v>
      </c>
      <c r="J41" s="10">
        <v>45127</v>
      </c>
      <c r="K41" t="s">
        <v>100</v>
      </c>
      <c r="L41" s="1" t="s">
        <v>313</v>
      </c>
      <c r="M41" s="7" t="str">
        <f>IF(K41="收_客户",INDEX(客户信息维护!C:C,MATCH(银行日记账登记!L41,客户信息维护!B:B,0)),IF(K41="支_供应商",INDEX(供应商信息维护!C:C,MATCH(银行日记账登记!L41,供应商信息维护!B:B,0)),""))</f>
        <v>MUNDOMAXI SL</v>
      </c>
      <c r="N41" t="s">
        <v>315</v>
      </c>
      <c r="Q41" t="s">
        <v>79</v>
      </c>
      <c r="R41" t="s">
        <v>326</v>
      </c>
    </row>
    <row r="42" spans="1:18" hidden="1" x14ac:dyDescent="0.25">
      <c r="A42" s="29">
        <v>41</v>
      </c>
      <c r="B42" t="s">
        <v>55</v>
      </c>
      <c r="C42" t="s">
        <v>127</v>
      </c>
      <c r="I42">
        <v>-263.94</v>
      </c>
      <c r="J42" s="10">
        <v>45127</v>
      </c>
      <c r="K42" t="s">
        <v>237</v>
      </c>
      <c r="L42" s="1" t="s">
        <v>316</v>
      </c>
      <c r="M42" s="7" t="str">
        <f>IF(K42="收_客户",INDEX(客户信息维护!C:C,MATCH(银行日记账登记!L42,客户信息维护!B:B,0)),IF(K42="支_供应商",INDEX(供应商信息维护!C:C,MATCH(银行日记账登记!L42,供应商信息维护!B:B,0)),""))</f>
        <v/>
      </c>
      <c r="N42" t="s">
        <v>356</v>
      </c>
      <c r="P42" t="s">
        <v>318</v>
      </c>
    </row>
    <row r="43" spans="1:18" hidden="1" x14ac:dyDescent="0.25">
      <c r="A43" s="29">
        <v>42</v>
      </c>
      <c r="B43" t="s">
        <v>55</v>
      </c>
      <c r="C43" t="s">
        <v>127</v>
      </c>
      <c r="I43">
        <v>-2280</v>
      </c>
      <c r="J43" s="10">
        <v>45127</v>
      </c>
      <c r="K43" t="s">
        <v>237</v>
      </c>
      <c r="L43" s="1" t="s">
        <v>319</v>
      </c>
      <c r="M43" s="7" t="str">
        <f>IF(K43="收_客户",INDEX(客户信息维护!C:C,MATCH(银行日记账登记!L43,客户信息维护!B:B,0)),IF(K43="支_供应商",INDEX(供应商信息维护!C:C,MATCH(银行日记账登记!L43,供应商信息维护!B:B,0)),""))</f>
        <v/>
      </c>
      <c r="N43" t="s">
        <v>357</v>
      </c>
    </row>
    <row r="44" spans="1:18" hidden="1" x14ac:dyDescent="0.25">
      <c r="A44" s="29">
        <v>43</v>
      </c>
      <c r="B44" t="s">
        <v>55</v>
      </c>
      <c r="C44" t="s">
        <v>127</v>
      </c>
      <c r="I44">
        <v>234.9</v>
      </c>
      <c r="J44" s="10">
        <v>45127</v>
      </c>
      <c r="K44" t="s">
        <v>100</v>
      </c>
      <c r="L44" s="1" t="s">
        <v>321</v>
      </c>
      <c r="M44" s="7" t="str">
        <f>IF(K44="收_客户",INDEX(客户信息维护!C:C,MATCH(银行日记账登记!L44,客户信息维护!B:B,0)),IF(K44="支_供应商",INDEX(供应商信息维护!C:C,MATCH(银行日记账登记!L44,供应商信息维护!B:B,0)),""))</f>
        <v>DENGRONG LIU</v>
      </c>
      <c r="N44" t="s">
        <v>323</v>
      </c>
      <c r="Q44" t="s">
        <v>79</v>
      </c>
      <c r="R44" t="s">
        <v>327</v>
      </c>
    </row>
    <row r="45" spans="1:18" hidden="1" x14ac:dyDescent="0.25">
      <c r="A45" s="29">
        <v>44</v>
      </c>
      <c r="B45" t="s">
        <v>55</v>
      </c>
      <c r="C45" t="s">
        <v>63</v>
      </c>
      <c r="I45">
        <v>882.7</v>
      </c>
      <c r="J45" s="10">
        <v>45127</v>
      </c>
      <c r="K45" t="s">
        <v>100</v>
      </c>
      <c r="L45" s="1" t="s">
        <v>328</v>
      </c>
      <c r="M45" s="7" t="str">
        <f>IF(K45="收_客户",INDEX(客户信息维护!C:C,MATCH(银行日记账登记!L45,客户信息维护!B:B,0)),IF(K45="支_供应商",INDEX(供应商信息维护!C:C,MATCH(银行日记账登记!L45,供应商信息维护!B:B,0)),""))</f>
        <v>BAZAR FAMILY 2020 S.L</v>
      </c>
      <c r="N45" t="s">
        <v>330</v>
      </c>
      <c r="Q45" t="s">
        <v>79</v>
      </c>
      <c r="R45" t="s">
        <v>341</v>
      </c>
    </row>
    <row r="46" spans="1:18" hidden="1" x14ac:dyDescent="0.25">
      <c r="A46" s="29">
        <v>45</v>
      </c>
      <c r="B46" t="s">
        <v>55</v>
      </c>
      <c r="C46" t="s">
        <v>63</v>
      </c>
      <c r="I46">
        <v>5515.23</v>
      </c>
      <c r="J46" s="10">
        <v>45127</v>
      </c>
      <c r="K46" t="s">
        <v>100</v>
      </c>
      <c r="L46" s="1" t="s">
        <v>331</v>
      </c>
      <c r="M46" s="7" t="str">
        <f>IF(K46="收_客户",INDEX(客户信息维护!C:C,MATCH(银行日记账登记!L46,客户信息维护!B:B,0)),IF(K46="支_供应商",INDEX(供应商信息维护!C:C,MATCH(银行日记账登记!L46,供应商信息维护!B:B,0)),""))</f>
        <v>SHOPPING CENTER CHINATOWN S.L</v>
      </c>
      <c r="N46" t="s">
        <v>333</v>
      </c>
      <c r="Q46" t="s">
        <v>79</v>
      </c>
      <c r="R46" t="s">
        <v>342</v>
      </c>
    </row>
    <row r="47" spans="1:18" hidden="1" x14ac:dyDescent="0.25">
      <c r="A47" s="29">
        <v>46</v>
      </c>
      <c r="B47" t="s">
        <v>55</v>
      </c>
      <c r="C47" t="s">
        <v>63</v>
      </c>
      <c r="I47">
        <v>2359.96</v>
      </c>
      <c r="J47" s="10">
        <v>45127</v>
      </c>
      <c r="K47" t="s">
        <v>100</v>
      </c>
      <c r="L47" s="1" t="s">
        <v>334</v>
      </c>
      <c r="M47" s="7" t="str">
        <f>IF(K47="收_客户",INDEX(客户信息维护!C:C,MATCH(银行日记账登记!L47,客户信息维护!B:B,0)),IF(K47="支_供应商",INDEX(供应商信息维护!C:C,MATCH(银行日记账登记!L47,供应商信息维护!B:B,0)),""))</f>
        <v>MADE IN CHINA 2022 S.L 米克</v>
      </c>
      <c r="N47" t="s">
        <v>336</v>
      </c>
      <c r="P47" t="s">
        <v>337</v>
      </c>
      <c r="Q47" t="s">
        <v>79</v>
      </c>
      <c r="R47" t="s">
        <v>343</v>
      </c>
    </row>
    <row r="48" spans="1:18" hidden="1" x14ac:dyDescent="0.25">
      <c r="A48" s="29">
        <v>47</v>
      </c>
      <c r="B48" t="s">
        <v>55</v>
      </c>
      <c r="C48" t="s">
        <v>63</v>
      </c>
      <c r="I48">
        <v>1195.1500000000001</v>
      </c>
      <c r="J48" s="10">
        <v>45127</v>
      </c>
      <c r="K48" t="s">
        <v>100</v>
      </c>
      <c r="L48" s="1" t="s">
        <v>338</v>
      </c>
      <c r="M48" s="7" t="str">
        <f>IF(K48="收_客户",INDEX(客户信息维护!C:C,MATCH(银行日记账登记!L48,客户信息维护!B:B,0)),IF(K48="支_供应商",INDEX(供应商信息维护!C:C,MATCH(银行日记账登记!L48,供应商信息维护!B:B,0)),""))</f>
        <v>MULTIHOGAR CAMBADOS S.L</v>
      </c>
      <c r="N48" t="s">
        <v>340</v>
      </c>
      <c r="Q48" t="s">
        <v>79</v>
      </c>
      <c r="R48" t="s">
        <v>344</v>
      </c>
    </row>
    <row r="49" spans="1:18" hidden="1" x14ac:dyDescent="0.25">
      <c r="A49" s="29">
        <v>48</v>
      </c>
      <c r="B49" t="s">
        <v>60</v>
      </c>
      <c r="C49" t="s">
        <v>66</v>
      </c>
      <c r="I49">
        <v>1153.32</v>
      </c>
      <c r="J49" s="10">
        <v>45127</v>
      </c>
      <c r="K49" t="s">
        <v>100</v>
      </c>
      <c r="L49" s="1" t="s">
        <v>345</v>
      </c>
      <c r="M49" s="7" t="str">
        <f>IF(K49="收_客户",INDEX(客户信息维护!C:C,MATCH(银行日记账登记!L49,客户信息维护!B:B,0)),IF(K49="支_供应商",INDEX(供应商信息维护!C:C,MATCH(银行日记账登记!L49,供应商信息维护!B:B,0)),""))</f>
        <v>FABULAS &amp; DEUSES UNIPESSOAL LDA 叶利双</v>
      </c>
      <c r="N49" t="s">
        <v>347</v>
      </c>
      <c r="P49" t="s">
        <v>348</v>
      </c>
      <c r="Q49" t="s">
        <v>79</v>
      </c>
      <c r="R49" t="s">
        <v>349</v>
      </c>
    </row>
    <row r="50" spans="1:18" hidden="1" x14ac:dyDescent="0.25">
      <c r="A50" s="29">
        <v>49</v>
      </c>
      <c r="B50" t="s">
        <v>60</v>
      </c>
      <c r="C50" t="s">
        <v>350</v>
      </c>
      <c r="I50">
        <v>523.03</v>
      </c>
      <c r="J50" s="10">
        <v>45127</v>
      </c>
      <c r="K50" t="s">
        <v>100</v>
      </c>
      <c r="L50" s="1" t="s">
        <v>352</v>
      </c>
      <c r="M50" s="7" t="str">
        <f>IF(K50="收_客户",INDEX(客户信息维护!C:C,MATCH(银行日记账登记!L50,客户信息维护!B:B,0)),IF(K50="支_供应商",INDEX(供应商信息维护!C:C,MATCH(银行日记账登记!L50,供应商信息维护!B:B,0)),""))</f>
        <v>LEFEI HUANG</v>
      </c>
      <c r="N50" t="s">
        <v>354</v>
      </c>
      <c r="Q50" t="s">
        <v>79</v>
      </c>
      <c r="R50" t="s">
        <v>355</v>
      </c>
    </row>
    <row r="51" spans="1:18" hidden="1" x14ac:dyDescent="0.25">
      <c r="B51" t="s">
        <v>55</v>
      </c>
      <c r="C51" t="s">
        <v>366</v>
      </c>
      <c r="I51">
        <v>748.53</v>
      </c>
      <c r="J51" s="10">
        <v>45114</v>
      </c>
      <c r="K51" t="s">
        <v>100</v>
      </c>
      <c r="L51" s="1" t="s">
        <v>368</v>
      </c>
      <c r="M51" s="7" t="str">
        <f>IF(K51="收_客户",INDEX(客户信息维护!C:C,MATCH(银行日记账登记!L51,客户信息维护!B:B,0)),IF(K51="支_供应商",INDEX(供应商信息维护!C:C,MATCH(银行日记账登记!L51,供应商信息维护!B:B,0)),""))</f>
        <v>HOME CENTER BRETON S.L</v>
      </c>
      <c r="N51" t="s">
        <v>370</v>
      </c>
      <c r="P51" t="s">
        <v>371</v>
      </c>
      <c r="Q51" t="s">
        <v>79</v>
      </c>
      <c r="R51" t="s">
        <v>372</v>
      </c>
    </row>
    <row r="52" spans="1:18" hidden="1" x14ac:dyDescent="0.25">
      <c r="B52" t="s">
        <v>55</v>
      </c>
      <c r="C52" t="s">
        <v>127</v>
      </c>
      <c r="H52" s="37"/>
      <c r="I52">
        <v>241.31</v>
      </c>
      <c r="J52" s="10">
        <v>45128</v>
      </c>
      <c r="K52" t="s">
        <v>100</v>
      </c>
      <c r="L52" s="1" t="s">
        <v>304</v>
      </c>
      <c r="M52" s="7" t="str">
        <f>IF(K52="收_客户",INDEX(客户信息维护!C:C,MATCH(银行日记账登记!L52,客户信息维护!B:B,0)),IF(K52="支_供应商",INDEX(供应商信息维护!C:C,MATCH(银行日记账登记!L52,供应商信息维护!B:B,0)),""))</f>
        <v>EL AZRAK MERJANI HAMZA</v>
      </c>
      <c r="N52" t="s">
        <v>373</v>
      </c>
      <c r="Q52" t="s">
        <v>79</v>
      </c>
      <c r="R52" t="s">
        <v>389</v>
      </c>
    </row>
    <row r="53" spans="1:18" hidden="1" x14ac:dyDescent="0.25">
      <c r="B53" t="s">
        <v>55</v>
      </c>
      <c r="C53" t="s">
        <v>127</v>
      </c>
      <c r="I53">
        <v>556.80999999999995</v>
      </c>
      <c r="J53" s="10">
        <v>45128</v>
      </c>
      <c r="K53" t="s">
        <v>100</v>
      </c>
      <c r="L53" s="1" t="s">
        <v>374</v>
      </c>
      <c r="M53" s="7" t="str">
        <f>IF(K53="收_客户",INDEX(客户信息维护!C:C,MATCH(银行日记账登记!L53,客户信息维护!B:B,0)),IF(K53="支_供应商",INDEX(供应商信息维护!C:C,MATCH(银行日记账登记!L53,供应商信息维护!B:B,0)),""))</f>
        <v>MALL STORE S.L</v>
      </c>
      <c r="N53" t="s">
        <v>376</v>
      </c>
      <c r="Q53" t="s">
        <v>79</v>
      </c>
      <c r="R53" t="s">
        <v>390</v>
      </c>
    </row>
    <row r="54" spans="1:18" hidden="1" x14ac:dyDescent="0.25">
      <c r="B54" t="s">
        <v>55</v>
      </c>
      <c r="C54" t="s">
        <v>127</v>
      </c>
      <c r="I54">
        <v>349.42</v>
      </c>
      <c r="J54" s="10">
        <v>45128</v>
      </c>
      <c r="K54" t="s">
        <v>100</v>
      </c>
      <c r="L54" s="1" t="s">
        <v>377</v>
      </c>
      <c r="M54" s="7" t="str">
        <f>IF(K54="收_客户",INDEX(客户信息维护!C:C,MATCH(银行日记账登记!L54,客户信息维护!B:B,0)),IF(K54="支_供应商",INDEX(供应商信息维护!C:C,MATCH(银行日记账登记!L54,供应商信息维护!B:B,0)),""))</f>
        <v>RED COOL S.L</v>
      </c>
      <c r="N54" t="s">
        <v>379</v>
      </c>
      <c r="P54" t="s">
        <v>273</v>
      </c>
      <c r="Q54" t="s">
        <v>79</v>
      </c>
      <c r="R54" t="s">
        <v>391</v>
      </c>
    </row>
    <row r="55" spans="1:18" hidden="1" x14ac:dyDescent="0.25">
      <c r="B55" t="s">
        <v>55</v>
      </c>
      <c r="C55" t="s">
        <v>127</v>
      </c>
      <c r="I55">
        <v>585.99</v>
      </c>
      <c r="J55" s="10">
        <v>45128</v>
      </c>
      <c r="K55" t="s">
        <v>100</v>
      </c>
      <c r="L55" s="1" t="s">
        <v>380</v>
      </c>
      <c r="M55" s="7" t="str">
        <f>IF(K55="收_客户",INDEX(客户信息维护!C:C,MATCH(银行日记账登记!L55,客户信息维护!B:B,0)),IF(K55="支_供应商",INDEX(供应商信息维护!C:C,MATCH(银行日记账登记!L55,供应商信息维护!B:B,0)),""))</f>
        <v>JIEZHONG XU</v>
      </c>
      <c r="N55" t="s">
        <v>382</v>
      </c>
      <c r="Q55" t="s">
        <v>79</v>
      </c>
      <c r="R55" t="s">
        <v>392</v>
      </c>
    </row>
    <row r="56" spans="1:18" hidden="1" x14ac:dyDescent="0.25">
      <c r="B56" t="s">
        <v>55</v>
      </c>
      <c r="C56" t="s">
        <v>127</v>
      </c>
      <c r="I56">
        <v>357.19</v>
      </c>
      <c r="J56" s="10">
        <v>45128</v>
      </c>
      <c r="K56" t="s">
        <v>100</v>
      </c>
      <c r="L56" s="1" t="s">
        <v>383</v>
      </c>
      <c r="M56" s="7" t="str">
        <f>IF(K56="收_客户",INDEX(客户信息维护!C:C,MATCH(银行日记账登记!L56,客户信息维护!B:B,0)),IF(K56="支_供应商",INDEX(供应商信息维护!C:C,MATCH(银行日记账登记!L56,供应商信息维护!B:B,0)),""))</f>
        <v>HONGJIE LAN</v>
      </c>
      <c r="N56" t="s">
        <v>385</v>
      </c>
      <c r="Q56" t="s">
        <v>79</v>
      </c>
      <c r="R56" t="s">
        <v>393</v>
      </c>
    </row>
    <row r="57" spans="1:18" hidden="1" x14ac:dyDescent="0.25">
      <c r="B57" t="s">
        <v>55</v>
      </c>
      <c r="C57" t="s">
        <v>127</v>
      </c>
      <c r="I57">
        <v>598.11</v>
      </c>
      <c r="J57" s="10">
        <v>45128</v>
      </c>
      <c r="K57" t="s">
        <v>100</v>
      </c>
      <c r="L57" s="1" t="s">
        <v>386</v>
      </c>
      <c r="M57" s="7" t="str">
        <f>IF(K57="收_客户",INDEX(客户信息维护!C:C,MATCH(银行日记账登记!L57,客户信息维护!B:B,0)),IF(K57="支_供应商",INDEX(供应商信息维护!C:C,MATCH(银行日记账登记!L57,供应商信息维护!B:B,0)),""))</f>
        <v>MAXI CASA AMUNT S.L</v>
      </c>
      <c r="N57" t="s">
        <v>388</v>
      </c>
      <c r="P57" s="11"/>
      <c r="Q57" t="s">
        <v>79</v>
      </c>
      <c r="R57" t="s">
        <v>394</v>
      </c>
    </row>
    <row r="58" spans="1:18" hidden="1" x14ac:dyDescent="0.25">
      <c r="B58" t="s">
        <v>55</v>
      </c>
      <c r="C58" t="s">
        <v>127</v>
      </c>
      <c r="I58">
        <v>639</v>
      </c>
      <c r="J58" s="10">
        <v>45128</v>
      </c>
      <c r="K58" t="s">
        <v>100</v>
      </c>
      <c r="L58" s="1" t="s">
        <v>395</v>
      </c>
      <c r="M58" s="7" t="str">
        <f>IF(K58="收_客户",INDEX(客户信息维护!C:C,MATCH(银行日记账登记!L58,客户信息维护!B:B,0)),IF(K58="支_供应商",INDEX(供应商信息维护!C:C,MATCH(银行日记账登记!L58,供应商信息维护!B:B,0)),""))</f>
        <v>CHEN XIA HONG</v>
      </c>
      <c r="N58" t="s">
        <v>397</v>
      </c>
      <c r="P58" t="s">
        <v>398</v>
      </c>
      <c r="Q58" t="s">
        <v>79</v>
      </c>
      <c r="R58" t="s">
        <v>404</v>
      </c>
    </row>
    <row r="59" spans="1:18" hidden="1" x14ac:dyDescent="0.25">
      <c r="B59" t="s">
        <v>55</v>
      </c>
      <c r="C59" t="s">
        <v>127</v>
      </c>
      <c r="I59">
        <v>234.44</v>
      </c>
      <c r="J59" s="10">
        <v>45129</v>
      </c>
      <c r="K59" t="s">
        <v>100</v>
      </c>
      <c r="L59" s="1" t="s">
        <v>283</v>
      </c>
      <c r="M59" s="7" t="str">
        <f>IF(K59="收_客户",INDEX(客户信息维护!C:C,MATCH(银行日记账登记!L59,客户信息维护!B:B,0)),IF(K59="支_供应商",INDEX(供应商信息维护!C:C,MATCH(银行日记账登记!L59,供应商信息维护!B:B,0)),""))</f>
        <v>GUOFENG LIANG</v>
      </c>
      <c r="N59" t="s">
        <v>399</v>
      </c>
      <c r="Q59" t="s">
        <v>79</v>
      </c>
      <c r="R59" t="s">
        <v>405</v>
      </c>
    </row>
    <row r="60" spans="1:18" hidden="1" x14ac:dyDescent="0.25">
      <c r="B60" t="s">
        <v>55</v>
      </c>
      <c r="C60" t="s">
        <v>127</v>
      </c>
      <c r="I60">
        <v>385.86</v>
      </c>
      <c r="J60" s="10">
        <v>45129</v>
      </c>
      <c r="K60" t="s">
        <v>100</v>
      </c>
      <c r="L60" s="1" t="s">
        <v>400</v>
      </c>
      <c r="M60" s="7" t="str">
        <f>IF(K60="收_客户",INDEX(客户信息维护!C:C,MATCH(银行日记账登记!L60,客户信息维护!B:B,0)),IF(K60="支_供应商",INDEX(供应商信息维护!C:C,MATCH(银行日记账登记!L60,供应商信息维护!B:B,0)),""))</f>
        <v>HONGQIN WEI</v>
      </c>
      <c r="N60" t="s">
        <v>402</v>
      </c>
      <c r="Q60" t="s">
        <v>79</v>
      </c>
      <c r="R60" t="s">
        <v>406</v>
      </c>
    </row>
    <row r="61" spans="1:18" hidden="1" x14ac:dyDescent="0.25">
      <c r="B61" t="s">
        <v>55</v>
      </c>
      <c r="C61" t="s">
        <v>127</v>
      </c>
      <c r="D61">
        <v>385.86</v>
      </c>
      <c r="E61" s="10">
        <v>45129</v>
      </c>
      <c r="F61" t="s">
        <v>100</v>
      </c>
      <c r="I61">
        <v>76.02</v>
      </c>
      <c r="J61" s="10">
        <v>45129</v>
      </c>
      <c r="K61" t="s">
        <v>100</v>
      </c>
      <c r="L61" s="1" t="s">
        <v>400</v>
      </c>
      <c r="M61" s="7" t="str">
        <f>IF(K61="收_客户",INDEX(客户信息维护!C:C,MATCH(银行日记账登记!L61,客户信息维护!B:B,0)),IF(K61="支_供应商",INDEX(供应商信息维护!C:C,MATCH(银行日记账登记!L61,供应商信息维护!B:B,0)),""))</f>
        <v>HONGQIN WEI</v>
      </c>
      <c r="N61" t="s">
        <v>403</v>
      </c>
      <c r="Q61" t="s">
        <v>79</v>
      </c>
      <c r="R61" t="s">
        <v>407</v>
      </c>
    </row>
    <row r="62" spans="1:18" hidden="1" x14ac:dyDescent="0.25">
      <c r="B62" t="s">
        <v>55</v>
      </c>
      <c r="C62" t="s">
        <v>63</v>
      </c>
      <c r="I62">
        <v>511.91</v>
      </c>
      <c r="J62" s="10">
        <v>45127</v>
      </c>
      <c r="K62" t="s">
        <v>100</v>
      </c>
      <c r="L62" s="1" t="s">
        <v>408</v>
      </c>
      <c r="M62" s="7" t="str">
        <f>IF(K62="收_客户",INDEX(客户信息维护!C:C,MATCH(银行日记账登记!L62,客户信息维护!B:B,0)),IF(K62="支_供应商",INDEX(供应商信息维护!C:C,MATCH(银行日记账登记!L62,供应商信息维护!B:B,0)),""))</f>
        <v>LE WANG</v>
      </c>
      <c r="N62" t="s">
        <v>410</v>
      </c>
      <c r="Q62" t="s">
        <v>79</v>
      </c>
      <c r="R62" t="s">
        <v>419</v>
      </c>
    </row>
    <row r="63" spans="1:18" hidden="1" x14ac:dyDescent="0.25">
      <c r="B63" t="s">
        <v>55</v>
      </c>
      <c r="C63" t="s">
        <v>63</v>
      </c>
      <c r="I63">
        <v>101.32</v>
      </c>
      <c r="J63" s="10">
        <v>45127</v>
      </c>
      <c r="K63" t="s">
        <v>100</v>
      </c>
      <c r="L63" s="1" t="s">
        <v>411</v>
      </c>
      <c r="M63" s="7" t="str">
        <f>IF(K63="收_客户",INDEX(客户信息维护!C:C,MATCH(银行日记账登记!L63,客户信息维护!B:B,0)),IF(K63="支_供应商",INDEX(供应商信息维护!C:C,MATCH(银行日记账登记!L63,供应商信息维护!B:B,0)),""))</f>
        <v>LINGWEI ZHANG</v>
      </c>
      <c r="N63" t="s">
        <v>413</v>
      </c>
      <c r="Q63" t="s">
        <v>79</v>
      </c>
      <c r="R63" t="s">
        <v>420</v>
      </c>
    </row>
    <row r="64" spans="1:18" hidden="1" x14ac:dyDescent="0.25">
      <c r="B64" t="s">
        <v>55</v>
      </c>
      <c r="C64" t="s">
        <v>63</v>
      </c>
      <c r="I64">
        <v>227.79</v>
      </c>
      <c r="J64" s="10">
        <v>45128</v>
      </c>
      <c r="K64" t="s">
        <v>100</v>
      </c>
      <c r="L64" s="1" t="s">
        <v>414</v>
      </c>
      <c r="M64" s="7" t="str">
        <f>IF(K64="收_客户",INDEX(客户信息维护!C:C,MATCH(银行日记账登记!L64,客户信息维护!B:B,0)),IF(K64="支_供应商",INDEX(供应商信息维护!C:C,MATCH(银行日记账登记!L64,供应商信息维护!B:B,0)),""))</f>
        <v>HUANLIANG YANG</v>
      </c>
      <c r="N64" t="s">
        <v>416</v>
      </c>
      <c r="Q64" t="s">
        <v>79</v>
      </c>
      <c r="R64" t="s">
        <v>421</v>
      </c>
    </row>
    <row r="65" spans="2:18" hidden="1" x14ac:dyDescent="0.25">
      <c r="B65" t="s">
        <v>55</v>
      </c>
      <c r="C65" t="s">
        <v>63</v>
      </c>
      <c r="D65">
        <v>227.79</v>
      </c>
      <c r="I65">
        <v>-5000</v>
      </c>
      <c r="J65" s="10">
        <v>45128</v>
      </c>
      <c r="K65" t="s">
        <v>263</v>
      </c>
      <c r="M65" s="7" t="str">
        <f>IF(K65="收_客户",INDEX(客户信息维护!C:C,MATCH(银行日记账登记!L65,客户信息维护!B:B,0)),IF(K65="支_供应商",INDEX(供应商信息维护!C:C,MATCH(银行日记账登记!L65,供应商信息维护!B:B,0)),""))</f>
        <v/>
      </c>
      <c r="N65" t="s">
        <v>417</v>
      </c>
      <c r="P65" t="s">
        <v>418</v>
      </c>
    </row>
    <row r="66" spans="2:18" hidden="1" x14ac:dyDescent="0.25">
      <c r="B66" t="s">
        <v>60</v>
      </c>
      <c r="C66" t="s">
        <v>66</v>
      </c>
      <c r="I66">
        <v>-572.21</v>
      </c>
      <c r="J66" s="10">
        <v>45127</v>
      </c>
      <c r="K66" t="s">
        <v>237</v>
      </c>
      <c r="M66" s="7" t="str">
        <f>IF(K66="收_客户",INDEX(客户信息维护!C:C,MATCH(银行日记账登记!L66,客户信息维护!B:B,0)),IF(K66="支_供应商",INDEX(供应商信息维护!C:C,MATCH(银行日记账登记!L66,供应商信息维护!B:B,0)),""))</f>
        <v/>
      </c>
      <c r="P66" t="s">
        <v>422</v>
      </c>
    </row>
    <row r="67" spans="2:18" hidden="1" x14ac:dyDescent="0.25">
      <c r="B67" t="s">
        <v>60</v>
      </c>
      <c r="C67" t="s">
        <v>66</v>
      </c>
      <c r="I67">
        <v>435.93</v>
      </c>
      <c r="J67" s="10">
        <v>45128</v>
      </c>
      <c r="K67" t="s">
        <v>100</v>
      </c>
      <c r="L67" s="1" t="s">
        <v>423</v>
      </c>
      <c r="M67" s="7" t="str">
        <f>IF(K67="收_客户",INDEX(客户信息维护!C:C,MATCH(银行日记账登记!L67,客户信息维护!B:B,0)),IF(K67="支_供应商",INDEX(供应商信息维护!C:C,MATCH(银行日记账登记!L67,供应商信息维护!B:B,0)),""))</f>
        <v>JINWEI ZHANG</v>
      </c>
      <c r="N67" t="s">
        <v>425</v>
      </c>
      <c r="Q67" t="s">
        <v>79</v>
      </c>
      <c r="R67" t="s">
        <v>426</v>
      </c>
    </row>
    <row r="68" spans="2:18" hidden="1" x14ac:dyDescent="0.25">
      <c r="B68" t="s">
        <v>55</v>
      </c>
      <c r="C68" t="s">
        <v>127</v>
      </c>
      <c r="I68">
        <v>482.48</v>
      </c>
      <c r="J68" s="10">
        <v>45131</v>
      </c>
      <c r="K68" t="s">
        <v>100</v>
      </c>
      <c r="L68" s="1" t="s">
        <v>427</v>
      </c>
      <c r="M68" s="7" t="str">
        <f>IF(K68="收_客户",INDEX(客户信息维护!C:C,MATCH(银行日记账登记!L68,客户信息维护!B:B,0)),IF(K68="支_供应商",INDEX(供应商信息维护!C:C,MATCH(银行日记账登记!L68,供应商信息维护!B:B,0)),""))</f>
        <v xml:space="preserve">YINGYING MAOXU </v>
      </c>
      <c r="N68" t="s">
        <v>429</v>
      </c>
      <c r="Q68" t="s">
        <v>79</v>
      </c>
      <c r="R68" t="s">
        <v>445</v>
      </c>
    </row>
    <row r="69" spans="2:18" hidden="1" x14ac:dyDescent="0.25">
      <c r="B69" t="s">
        <v>55</v>
      </c>
      <c r="C69" t="s">
        <v>127</v>
      </c>
      <c r="I69">
        <v>70.430000000000007</v>
      </c>
      <c r="J69" s="10">
        <v>45131</v>
      </c>
      <c r="K69" t="s">
        <v>100</v>
      </c>
      <c r="L69" s="1" t="s">
        <v>430</v>
      </c>
      <c r="M69" s="7" t="str">
        <f>IF(K69="收_客户",INDEX(客户信息维护!C:C,MATCH(银行日记账登记!L69,客户信息维护!B:B,0)),IF(K69="支_供应商",INDEX(供应商信息维护!C:C,MATCH(银行日记账登记!L69,供应商信息维护!B:B,0)),""))</f>
        <v>BEST LICENCIAS S.L</v>
      </c>
      <c r="N69" t="s">
        <v>432</v>
      </c>
      <c r="Q69" t="s">
        <v>79</v>
      </c>
      <c r="R69" t="s">
        <v>446</v>
      </c>
    </row>
    <row r="70" spans="2:18" hidden="1" x14ac:dyDescent="0.25">
      <c r="B70" t="s">
        <v>55</v>
      </c>
      <c r="C70" t="s">
        <v>127</v>
      </c>
      <c r="I70">
        <v>17.100000000000001</v>
      </c>
      <c r="J70" s="10">
        <v>45131</v>
      </c>
      <c r="K70" t="s">
        <v>100</v>
      </c>
      <c r="L70" s="1" t="s">
        <v>430</v>
      </c>
      <c r="M70" s="7" t="str">
        <f>IF(K70="收_客户",INDEX(客户信息维护!C:C,MATCH(银行日记账登记!L70,客户信息维护!B:B,0)),IF(K70="支_供应商",INDEX(供应商信息维护!C:C,MATCH(银行日记账登记!L70,供应商信息维护!B:B,0)),""))</f>
        <v>BEST LICENCIAS S.L</v>
      </c>
      <c r="N70" t="s">
        <v>433</v>
      </c>
      <c r="Q70" t="s">
        <v>79</v>
      </c>
      <c r="R70" t="s">
        <v>447</v>
      </c>
    </row>
    <row r="71" spans="2:18" hidden="1" x14ac:dyDescent="0.25">
      <c r="B71" t="s">
        <v>55</v>
      </c>
      <c r="C71" t="s">
        <v>127</v>
      </c>
      <c r="I71">
        <v>256.13</v>
      </c>
      <c r="J71" s="10">
        <v>45131</v>
      </c>
      <c r="K71" t="s">
        <v>100</v>
      </c>
      <c r="L71" s="1" t="s">
        <v>434</v>
      </c>
      <c r="M71" s="7" t="str">
        <f>IF(K71="收_客户",INDEX(客户信息维护!C:C,MATCH(银行日记账登记!L71,客户信息维护!B:B,0)),IF(K71="支_供应商",INDEX(供应商信息维护!C:C,MATCH(银行日记账登记!L71,供应商信息维护!B:B,0)),""))</f>
        <v>SUPER BAZAR HAOJIE, S.L.</v>
      </c>
      <c r="N71" t="s">
        <v>436</v>
      </c>
      <c r="P71" t="s">
        <v>437</v>
      </c>
      <c r="Q71" t="s">
        <v>79</v>
      </c>
      <c r="R71" t="s">
        <v>448</v>
      </c>
    </row>
    <row r="72" spans="2:18" hidden="1" x14ac:dyDescent="0.25">
      <c r="B72" t="s">
        <v>55</v>
      </c>
      <c r="C72" t="s">
        <v>127</v>
      </c>
      <c r="I72">
        <v>1522.28</v>
      </c>
      <c r="J72" s="10">
        <v>45131</v>
      </c>
      <c r="K72" t="s">
        <v>100</v>
      </c>
      <c r="L72" s="1" t="s">
        <v>438</v>
      </c>
      <c r="M72" s="7" t="str">
        <f>IF(K72="收_客户",INDEX(客户信息维护!C:C,MATCH(银行日记账登记!L72,客户信息维护!B:B,0)),IF(K72="支_供应商",INDEX(供应商信息维护!C:C,MATCH(银行日记账登记!L72,供应商信息维护!B:B,0)),""))</f>
        <v>MANAELECTRONICO S.L</v>
      </c>
      <c r="N72" t="s">
        <v>440</v>
      </c>
      <c r="P72" t="s">
        <v>441</v>
      </c>
      <c r="Q72" t="s">
        <v>79</v>
      </c>
      <c r="R72" t="s">
        <v>449</v>
      </c>
    </row>
    <row r="73" spans="2:18" hidden="1" x14ac:dyDescent="0.25">
      <c r="B73" t="s">
        <v>55</v>
      </c>
      <c r="C73" t="s">
        <v>127</v>
      </c>
      <c r="I73">
        <v>456.89</v>
      </c>
      <c r="J73" s="10">
        <v>45131</v>
      </c>
      <c r="K73" t="s">
        <v>100</v>
      </c>
      <c r="L73" s="1" t="s">
        <v>442</v>
      </c>
      <c r="M73" s="7" t="str">
        <f>IF(K73="收_客户",INDEX(客户信息维护!C:C,MATCH(银行日记账登记!L73,客户信息维护!B:B,0)),IF(K73="支_供应商",INDEX(供应商信息维护!C:C,MATCH(银行日记账登记!L73,供应商信息维护!B:B,0)),""))</f>
        <v>HAN WEIFENG</v>
      </c>
      <c r="N73" t="s">
        <v>444</v>
      </c>
      <c r="Q73" t="s">
        <v>79</v>
      </c>
      <c r="R73" t="s">
        <v>450</v>
      </c>
    </row>
    <row r="74" spans="2:18" hidden="1" x14ac:dyDescent="0.25">
      <c r="B74" t="s">
        <v>55</v>
      </c>
      <c r="C74" t="s">
        <v>63</v>
      </c>
      <c r="I74">
        <v>684.2</v>
      </c>
      <c r="J74" s="10">
        <v>45131</v>
      </c>
      <c r="K74" t="s">
        <v>100</v>
      </c>
      <c r="L74" s="1" t="s">
        <v>451</v>
      </c>
      <c r="M74" s="7" t="str">
        <f>IF(K74="收_客户",INDEX(客户信息维护!C:C,MATCH(银行日记账登记!L74,客户信息维护!B:B,0)),IF(K74="支_供应商",INDEX(供应商信息维护!C:C,MATCH(银行日记账登记!L74,供应商信息维护!B:B,0)),""))</f>
        <v>MAJA PROHOGAR S.L</v>
      </c>
      <c r="N74" t="s">
        <v>453</v>
      </c>
      <c r="Q74" t="s">
        <v>79</v>
      </c>
      <c r="R74" t="s">
        <v>462</v>
      </c>
    </row>
    <row r="75" spans="2:18" hidden="1" x14ac:dyDescent="0.25">
      <c r="B75" t="s">
        <v>55</v>
      </c>
      <c r="C75" t="s">
        <v>63</v>
      </c>
      <c r="I75">
        <v>2478.98</v>
      </c>
      <c r="J75" s="10">
        <v>45131</v>
      </c>
      <c r="K75" t="s">
        <v>100</v>
      </c>
      <c r="L75" s="1" t="s">
        <v>508</v>
      </c>
      <c r="M75" s="38" t="str">
        <f>IF(K75="收_客户",INDEX(客户信息维护!C:C,MATCH(银行日记账登记!L75,客户信息维护!B:B,0)),IF(K75="支_供应商",INDEX(供应商信息维护!C:C,MATCH(银行日记账登记!L75,供应商信息维护!B:B,0)),""))</f>
        <v>MERCA VALL 2022 S.L.</v>
      </c>
      <c r="N75" t="s">
        <v>509</v>
      </c>
      <c r="Q75" t="s">
        <v>79</v>
      </c>
      <c r="R75" t="s">
        <v>488</v>
      </c>
    </row>
    <row r="76" spans="2:18" hidden="1" x14ac:dyDescent="0.25">
      <c r="B76" t="s">
        <v>55</v>
      </c>
      <c r="C76" t="s">
        <v>63</v>
      </c>
      <c r="I76">
        <v>-4700.01</v>
      </c>
      <c r="J76" s="10">
        <v>45131</v>
      </c>
      <c r="K76" t="s">
        <v>237</v>
      </c>
      <c r="M76" s="7" t="str">
        <f>IF(K76="收_客户",INDEX(客户信息维护!C:C,MATCH(银行日记账登记!L76,客户信息维护!B:B,0)),IF(K76="支_供应商",INDEX(供应商信息维护!C:C,MATCH(银行日记账登记!L76,供应商信息维护!B:B,0)),""))</f>
        <v/>
      </c>
      <c r="P76" t="s">
        <v>456</v>
      </c>
    </row>
    <row r="77" spans="2:18" hidden="1" x14ac:dyDescent="0.25">
      <c r="B77" t="s">
        <v>55</v>
      </c>
      <c r="C77" t="s">
        <v>63</v>
      </c>
      <c r="I77">
        <v>-10070.91</v>
      </c>
      <c r="J77" s="10">
        <v>45131</v>
      </c>
      <c r="K77" t="s">
        <v>237</v>
      </c>
      <c r="M77" s="7" t="str">
        <f>IF(K77="收_客户",INDEX(客户信息维护!C:C,MATCH(银行日记账登记!L77,客户信息维护!B:B,0)),IF(K77="支_供应商",INDEX(供应商信息维护!C:C,MATCH(银行日记账登记!L77,供应商信息维护!B:B,0)),""))</f>
        <v/>
      </c>
      <c r="P77" t="s">
        <v>458</v>
      </c>
    </row>
    <row r="78" spans="2:18" hidden="1" x14ac:dyDescent="0.25">
      <c r="B78" t="s">
        <v>60</v>
      </c>
      <c r="C78" t="s">
        <v>66</v>
      </c>
      <c r="I78">
        <v>926.98</v>
      </c>
      <c r="J78" s="10">
        <v>45131</v>
      </c>
      <c r="K78" t="s">
        <v>100</v>
      </c>
      <c r="L78" s="1" t="s">
        <v>459</v>
      </c>
      <c r="M78" s="7" t="str">
        <f>IF(K78="收_客户",INDEX(客户信息维护!C:C,MATCH(银行日记账登记!L78,客户信息维护!B:B,0)),IF(K78="支_供应商",INDEX(供应商信息维护!C:C,MATCH(银行日记账登记!L78,供应商信息维护!B:B,0)),""))</f>
        <v>HAOYUNLAI LDA</v>
      </c>
      <c r="N78" t="s">
        <v>461</v>
      </c>
      <c r="Q78" t="s">
        <v>79</v>
      </c>
      <c r="R78" t="s">
        <v>470</v>
      </c>
    </row>
    <row r="79" spans="2:18" hidden="1" x14ac:dyDescent="0.25">
      <c r="B79" t="s">
        <v>60</v>
      </c>
      <c r="C79" t="s">
        <v>66</v>
      </c>
      <c r="I79">
        <v>7053.88</v>
      </c>
      <c r="J79" s="10">
        <v>45131</v>
      </c>
      <c r="K79" t="s">
        <v>100</v>
      </c>
      <c r="L79" s="1" t="s">
        <v>463</v>
      </c>
      <c r="M79" s="7" t="str">
        <f>IF(K79="收_客户",INDEX(客户信息维护!C:C,MATCH(银行日记账登记!L79,客户信息维护!B:B,0)),IF(K79="支_供应商",INDEX(供应商信息维护!C:C,MATCH(银行日记账登记!L79,供应商信息维护!B:B,0)),""))</f>
        <v>SUCCESSAGENDA LDA 郭正</v>
      </c>
      <c r="N79" t="s">
        <v>465</v>
      </c>
      <c r="P79" t="s">
        <v>469</v>
      </c>
      <c r="Q79" t="s">
        <v>79</v>
      </c>
      <c r="R79" t="s">
        <v>471</v>
      </c>
    </row>
    <row r="80" spans="2:18" hidden="1" x14ac:dyDescent="0.25">
      <c r="B80" t="s">
        <v>60</v>
      </c>
      <c r="C80" t="s">
        <v>66</v>
      </c>
      <c r="I80">
        <v>1588.22</v>
      </c>
      <c r="J80" s="10">
        <v>45131</v>
      </c>
      <c r="K80" t="s">
        <v>100</v>
      </c>
      <c r="L80" s="1" t="s">
        <v>466</v>
      </c>
      <c r="M80" s="7" t="str">
        <f>IF(K80="收_客户",INDEX(客户信息维护!C:C,MATCH(银行日记账登记!L80,客户信息维护!B:B,0)),IF(K80="支_供应商",INDEX(供应商信息维护!C:C,MATCH(银行日记账登记!L80,供应商信息维护!B:B,0)),""))</f>
        <v>GABARITO POSTIVO UNIPESSOAL LDA 王军</v>
      </c>
      <c r="N80" t="s">
        <v>468</v>
      </c>
      <c r="P80" t="s">
        <v>469</v>
      </c>
      <c r="Q80" t="s">
        <v>79</v>
      </c>
      <c r="R80" t="s">
        <v>472</v>
      </c>
    </row>
    <row r="81" spans="2:18" hidden="1" x14ac:dyDescent="0.25">
      <c r="B81" t="s">
        <v>55</v>
      </c>
      <c r="C81" t="s">
        <v>127</v>
      </c>
      <c r="I81">
        <v>342.74</v>
      </c>
      <c r="J81" s="10">
        <v>45132</v>
      </c>
      <c r="K81" t="s">
        <v>100</v>
      </c>
      <c r="L81" s="1" t="s">
        <v>473</v>
      </c>
      <c r="M81" s="7" t="str">
        <f>IF(K81="收_客户",INDEX(客户信息维护!C:C,MATCH(银行日记账登记!L81,客户信息维护!B:B,0)),IF(K81="支_供应商",INDEX(供应商信息维护!C:C,MATCH(银行日记账登记!L81,供应商信息维护!B:B,0)),""))</f>
        <v>YUDING HU</v>
      </c>
      <c r="N81" t="s">
        <v>475</v>
      </c>
      <c r="P81" t="s">
        <v>273</v>
      </c>
      <c r="Q81" t="s">
        <v>79</v>
      </c>
      <c r="R81" t="s">
        <v>476</v>
      </c>
    </row>
    <row r="82" spans="2:18" hidden="1" x14ac:dyDescent="0.25">
      <c r="B82" t="s">
        <v>55</v>
      </c>
      <c r="C82" t="s">
        <v>127</v>
      </c>
      <c r="I82">
        <v>-1568.6</v>
      </c>
      <c r="J82" s="10">
        <v>45132</v>
      </c>
      <c r="K82" t="s">
        <v>237</v>
      </c>
      <c r="M82" s="7" t="str">
        <f>IF(K82="收_客户",INDEX(客户信息维护!C:C,MATCH(银行日记账登记!L82,客户信息维护!B:B,0)),IF(K82="支_供应商",INDEX(供应商信息维护!C:C,MATCH(银行日记账登记!L82,供应商信息维护!B:B,0)),""))</f>
        <v/>
      </c>
      <c r="P82" t="s">
        <v>477</v>
      </c>
    </row>
    <row r="83" spans="2:18" hidden="1" x14ac:dyDescent="0.25">
      <c r="B83" t="s">
        <v>55</v>
      </c>
      <c r="C83" t="s">
        <v>127</v>
      </c>
      <c r="I83">
        <v>-14220.96</v>
      </c>
      <c r="J83" s="10">
        <v>45132</v>
      </c>
      <c r="K83" t="s">
        <v>457</v>
      </c>
      <c r="M83" s="7" t="e">
        <f>IF(K83="收_客户",INDEX(客户信息维护!C:C,MATCH(银行日记账登记!L83,客户信息维护!B:B,0)),IF(K83="支_供应商",INDEX(供应商信息维护!C:C,MATCH(银行日记账登记!L83,供应商信息维护!B:B,0)),""))</f>
        <v>#N/A</v>
      </c>
      <c r="P83" t="s">
        <v>478</v>
      </c>
    </row>
    <row r="84" spans="2:18" hidden="1" x14ac:dyDescent="0.25">
      <c r="B84" t="s">
        <v>55</v>
      </c>
      <c r="C84" t="s">
        <v>127</v>
      </c>
      <c r="I84">
        <v>540.44000000000005</v>
      </c>
      <c r="J84" s="10">
        <v>45132</v>
      </c>
      <c r="K84" t="s">
        <v>100</v>
      </c>
      <c r="L84" s="1" t="s">
        <v>479</v>
      </c>
      <c r="M84" s="7" t="str">
        <f>IF(K84="收_客户",INDEX(客户信息维护!C:C,MATCH(银行日记账登记!L84,客户信息维护!B:B,0)),IF(K84="支_供应商",INDEX(供应商信息维护!C:C,MATCH(银行日记账登记!L84,供应商信息维护!B:B,0)),""))</f>
        <v>COUSINESHOP 2019 S.L</v>
      </c>
      <c r="N84" t="s">
        <v>481</v>
      </c>
      <c r="P84" t="s">
        <v>482</v>
      </c>
      <c r="Q84" t="s">
        <v>79</v>
      </c>
      <c r="R84" t="s">
        <v>489</v>
      </c>
    </row>
    <row r="85" spans="2:18" hidden="1" x14ac:dyDescent="0.25">
      <c r="B85" t="s">
        <v>55</v>
      </c>
      <c r="C85" t="s">
        <v>127</v>
      </c>
      <c r="I85">
        <v>2815.68</v>
      </c>
      <c r="J85" s="10">
        <v>45132</v>
      </c>
      <c r="K85" t="s">
        <v>100</v>
      </c>
      <c r="L85" s="1" t="s">
        <v>483</v>
      </c>
      <c r="M85" s="7" t="str">
        <f>IF(K85="收_客户",INDEX(客户信息维护!C:C,MATCH(银行日记账登记!L85,客户信息维护!B:B,0)),IF(K85="支_供应商",INDEX(供应商信息维护!C:C,MATCH(银行日记账登记!L85,供应商信息维护!B:B,0)),""))</f>
        <v>XIN SHI JI TRADE CENTER S.L 新世纪</v>
      </c>
      <c r="N85" t="s">
        <v>485</v>
      </c>
      <c r="Q85" t="s">
        <v>79</v>
      </c>
      <c r="R85" t="s">
        <v>490</v>
      </c>
    </row>
    <row r="86" spans="2:18" hidden="1" x14ac:dyDescent="0.25">
      <c r="B86" t="s">
        <v>55</v>
      </c>
      <c r="C86" t="s">
        <v>127</v>
      </c>
      <c r="I86">
        <v>1103.5999999999999</v>
      </c>
      <c r="J86" s="10">
        <v>45132</v>
      </c>
      <c r="K86" t="s">
        <v>100</v>
      </c>
      <c r="L86" s="1" t="s">
        <v>483</v>
      </c>
      <c r="M86" s="7" t="str">
        <f>IF(K86="收_客户",INDEX(客户信息维护!C:C,MATCH(银行日记账登记!L86,客户信息维护!B:B,0)),IF(K86="支_供应商",INDEX(供应商信息维护!C:C,MATCH(银行日记账登记!L86,供应商信息维护!B:B,0)),""))</f>
        <v>XIN SHI JI TRADE CENTER S.L 新世纪</v>
      </c>
      <c r="N86" t="s">
        <v>486</v>
      </c>
      <c r="Q86" t="s">
        <v>79</v>
      </c>
      <c r="R86" t="s">
        <v>491</v>
      </c>
    </row>
    <row r="87" spans="2:18" hidden="1" x14ac:dyDescent="0.25">
      <c r="B87" t="s">
        <v>55</v>
      </c>
      <c r="C87" t="s">
        <v>127</v>
      </c>
      <c r="I87">
        <v>2595.96</v>
      </c>
      <c r="J87" s="10">
        <v>45132</v>
      </c>
      <c r="K87" t="s">
        <v>100</v>
      </c>
      <c r="L87" s="1" t="s">
        <v>483</v>
      </c>
      <c r="M87" s="7" t="str">
        <f>IF(K87="收_客户",INDEX(客户信息维护!C:C,MATCH(银行日记账登记!L87,客户信息维护!B:B,0)),IF(K87="支_供应商",INDEX(供应商信息维护!C:C,MATCH(银行日记账登记!L87,供应商信息维护!B:B,0)),""))</f>
        <v>XIN SHI JI TRADE CENTER S.L 新世纪</v>
      </c>
      <c r="N87" t="s">
        <v>487</v>
      </c>
      <c r="Q87" t="s">
        <v>79</v>
      </c>
      <c r="R87" t="s">
        <v>492</v>
      </c>
    </row>
    <row r="88" spans="2:18" hidden="1" x14ac:dyDescent="0.25">
      <c r="B88" t="s">
        <v>55</v>
      </c>
      <c r="C88" t="s">
        <v>127</v>
      </c>
      <c r="I88">
        <v>3767.66</v>
      </c>
      <c r="J88" s="10">
        <v>45132</v>
      </c>
      <c r="K88" t="s">
        <v>100</v>
      </c>
      <c r="L88" s="1" t="s">
        <v>483</v>
      </c>
      <c r="M88" s="7" t="str">
        <f>IF(K88="收_客户",INDEX(客户信息维护!C:C,MATCH(银行日记账登记!L88,客户信息维护!B:B,0)),IF(K88="支_供应商",INDEX(供应商信息维护!C:C,MATCH(银行日记账登记!L88,供应商信息维护!B:B,0)),""))</f>
        <v>XIN SHI JI TRADE CENTER S.L 新世纪</v>
      </c>
      <c r="N88" t="s">
        <v>502</v>
      </c>
      <c r="Q88" t="s">
        <v>79</v>
      </c>
      <c r="R88" t="s">
        <v>503</v>
      </c>
    </row>
    <row r="89" spans="2:18" hidden="1" x14ac:dyDescent="0.25">
      <c r="B89" t="s">
        <v>55</v>
      </c>
      <c r="C89" t="s">
        <v>127</v>
      </c>
      <c r="I89">
        <v>725.47</v>
      </c>
      <c r="J89" s="10">
        <v>45133</v>
      </c>
      <c r="K89" t="s">
        <v>100</v>
      </c>
      <c r="L89" s="1" t="s">
        <v>493</v>
      </c>
      <c r="M89" s="7" t="str">
        <f>IF(K89="收_客户",INDEX(客户信息维护!C:C,MATCH(银行日记账登记!L89,客户信息维护!B:B,0)),IF(K89="支_供应商",INDEX(供应商信息维护!C:C,MATCH(银行日记账登记!L89,供应商信息维护!B:B,0)),""))</f>
        <v>ZHU GUOFENG</v>
      </c>
      <c r="N89" t="s">
        <v>495</v>
      </c>
      <c r="P89" t="s">
        <v>496</v>
      </c>
      <c r="Q89" t="s">
        <v>79</v>
      </c>
      <c r="R89" t="s">
        <v>500</v>
      </c>
    </row>
    <row r="90" spans="2:18" hidden="1" x14ac:dyDescent="0.25">
      <c r="B90" t="s">
        <v>55</v>
      </c>
      <c r="C90" t="s">
        <v>127</v>
      </c>
      <c r="I90">
        <v>609.92999999999995</v>
      </c>
      <c r="J90" s="10">
        <v>45133</v>
      </c>
      <c r="K90" t="s">
        <v>100</v>
      </c>
      <c r="L90" s="1" t="s">
        <v>497</v>
      </c>
      <c r="M90" s="7" t="str">
        <f>IF(K90="收_客户",INDEX(客户信息维护!C:C,MATCH(银行日记账登记!L90,客户信息维护!B:B,0)),IF(K90="支_供应商",INDEX(供应商信息维护!C:C,MATCH(银行日记账登记!L90,供应商信息维护!B:B,0)),""))</f>
        <v>LIYONG SHAN</v>
      </c>
      <c r="N90" t="s">
        <v>499</v>
      </c>
      <c r="Q90" t="s">
        <v>79</v>
      </c>
      <c r="R90" t="s">
        <v>501</v>
      </c>
    </row>
    <row r="91" spans="2:18" hidden="1" x14ac:dyDescent="0.25">
      <c r="B91" t="s">
        <v>55</v>
      </c>
      <c r="C91" t="s">
        <v>63</v>
      </c>
      <c r="I91">
        <v>1022.79</v>
      </c>
      <c r="J91" s="10">
        <v>45132</v>
      </c>
      <c r="K91" t="s">
        <v>100</v>
      </c>
      <c r="L91" s="1" t="s">
        <v>504</v>
      </c>
      <c r="M91" s="7" t="str">
        <f>IF(K91="收_客户",INDEX(客户信息维护!C:C,MATCH(银行日记账登记!L91,客户信息维护!B:B,0)),IF(K91="支_供应商",INDEX(供应商信息维护!C:C,MATCH(银行日记账登记!L91,供应商信息维护!B:B,0)),""))</f>
        <v>LA FAMILIA ZHOU S.L</v>
      </c>
      <c r="N91" t="s">
        <v>506</v>
      </c>
      <c r="Q91" t="s">
        <v>79</v>
      </c>
      <c r="R91" t="s">
        <v>507</v>
      </c>
    </row>
    <row r="92" spans="2:18" hidden="1" x14ac:dyDescent="0.25">
      <c r="B92" t="s">
        <v>60</v>
      </c>
      <c r="C92" t="s">
        <v>66</v>
      </c>
      <c r="I92">
        <v>-25.17</v>
      </c>
      <c r="J92" s="10">
        <v>45133</v>
      </c>
      <c r="K92" t="s">
        <v>237</v>
      </c>
      <c r="M92" s="7" t="str">
        <f>IF(K92="收_客户",INDEX(客户信息维护!C:C,MATCH(银行日记账登记!L92,客户信息维护!B:B,0)),IF(K92="支_供应商",INDEX(供应商信息维护!C:C,MATCH(银行日记账登记!L92,供应商信息维护!B:B,0)),""))</f>
        <v/>
      </c>
    </row>
    <row r="93" spans="2:18" hidden="1" x14ac:dyDescent="0.25">
      <c r="B93" t="s">
        <v>55</v>
      </c>
      <c r="C93" t="s">
        <v>127</v>
      </c>
      <c r="I93">
        <v>349.7</v>
      </c>
      <c r="J93" s="10">
        <v>45133</v>
      </c>
      <c r="K93" t="s">
        <v>100</v>
      </c>
      <c r="L93" s="1" t="s">
        <v>514</v>
      </c>
      <c r="M93" s="7" t="str">
        <f>IF(K93="收_客户",INDEX(客户信息维护!C:C,MATCH(银行日记账登记!L93,客户信息维护!B:B,0)),IF(K93="支_供应商",INDEX(供应商信息维护!C:C,MATCH(银行日记账登记!L93,供应商信息维护!B:B,0)),""))</f>
        <v>NAIYU WANG</v>
      </c>
      <c r="N93" t="s">
        <v>516</v>
      </c>
      <c r="Q93" t="s">
        <v>79</v>
      </c>
      <c r="R93" t="s">
        <v>517</v>
      </c>
    </row>
    <row r="94" spans="2:18" hidden="1" x14ac:dyDescent="0.25">
      <c r="B94" t="s">
        <v>55</v>
      </c>
      <c r="C94" t="s">
        <v>63</v>
      </c>
      <c r="I94">
        <v>480.29</v>
      </c>
      <c r="J94" s="10">
        <v>45134</v>
      </c>
      <c r="K94" t="s">
        <v>100</v>
      </c>
      <c r="L94" s="1" t="s">
        <v>510</v>
      </c>
      <c r="M94" s="7" t="str">
        <f>IF(K94="收_客户",INDEX(客户信息维护!C:C,MATCH(银行日记账登记!L94,客户信息维护!B:B,0)),IF(K94="支_供应商",INDEX(供应商信息维护!C:C,MATCH(银行日记账登记!L94,供应商信息维护!B:B,0)),""))</f>
        <v>BASAR LLUIS COMPANYS S.L</v>
      </c>
      <c r="N94" t="s">
        <v>512</v>
      </c>
      <c r="Q94" t="s">
        <v>79</v>
      </c>
      <c r="R94" t="s">
        <v>513</v>
      </c>
    </row>
    <row r="95" spans="2:18" hidden="1" x14ac:dyDescent="0.25">
      <c r="B95" t="s">
        <v>55</v>
      </c>
      <c r="C95" t="s">
        <v>127</v>
      </c>
      <c r="I95">
        <v>1345.73</v>
      </c>
      <c r="J95" s="10">
        <v>45134</v>
      </c>
      <c r="K95" t="s">
        <v>100</v>
      </c>
      <c r="L95" s="1" t="s">
        <v>518</v>
      </c>
      <c r="M95" s="7" t="str">
        <f>IF(K95="收_客户",INDEX(客户信息维护!C:C,MATCH(银行日记账登记!L95,客户信息维护!B:B,0)),IF(K95="支_供应商",INDEX(供应商信息维护!C:C,MATCH(银行日记账登记!L95,供应商信息维护!B:B,0)),""))</f>
        <v>EURO HOGAR CARBALLO S.L</v>
      </c>
      <c r="N95" t="s">
        <v>520</v>
      </c>
      <c r="Q95" t="s">
        <v>79</v>
      </c>
      <c r="R95" t="s">
        <v>521</v>
      </c>
    </row>
    <row r="96" spans="2:18" hidden="1" x14ac:dyDescent="0.25">
      <c r="B96" t="s">
        <v>55</v>
      </c>
      <c r="C96" t="s">
        <v>127</v>
      </c>
      <c r="I96">
        <v>-5000</v>
      </c>
      <c r="J96" s="10">
        <v>45134</v>
      </c>
      <c r="K96" t="s">
        <v>263</v>
      </c>
      <c r="M96" s="7" t="str">
        <f>IF(K96="收_客户",INDEX(客户信息维护!C:C,MATCH(银行日记账登记!L96,客户信息维护!B:B,0)),IF(K96="支_供应商",INDEX(供应商信息维护!C:C,MATCH(银行日记账登记!L96,供应商信息维护!B:B,0)),""))</f>
        <v/>
      </c>
      <c r="P96" t="s">
        <v>522</v>
      </c>
    </row>
    <row r="97" spans="2:18" hidden="1" x14ac:dyDescent="0.25">
      <c r="B97" t="s">
        <v>55</v>
      </c>
      <c r="C97" t="s">
        <v>127</v>
      </c>
      <c r="I97">
        <v>710.63</v>
      </c>
      <c r="J97" s="10">
        <v>45135</v>
      </c>
      <c r="K97" t="s">
        <v>100</v>
      </c>
      <c r="L97" s="1" t="s">
        <v>523</v>
      </c>
      <c r="M97" s="7" t="str">
        <f>IF(K97="收_客户",INDEX(客户信息维护!C:C,MATCH(银行日记账登记!L97,客户信息维护!B:B,0)),IF(K97="支_供应商",INDEX(供应商信息维护!C:C,MATCH(银行日记账登记!L97,供应商信息维护!B:B,0)),""))</f>
        <v>HUA TAI S.L</v>
      </c>
      <c r="N97" t="s">
        <v>536</v>
      </c>
      <c r="P97" t="s">
        <v>532</v>
      </c>
      <c r="Q97" t="s">
        <v>79</v>
      </c>
      <c r="R97" t="s">
        <v>537</v>
      </c>
    </row>
    <row r="98" spans="2:18" hidden="1" x14ac:dyDescent="0.25">
      <c r="B98" t="s">
        <v>55</v>
      </c>
      <c r="C98" t="s">
        <v>127</v>
      </c>
      <c r="I98">
        <v>912.92</v>
      </c>
      <c r="J98" s="10">
        <v>45135</v>
      </c>
      <c r="K98" t="s">
        <v>100</v>
      </c>
      <c r="L98" s="1" t="s">
        <v>525</v>
      </c>
      <c r="M98" s="7" t="str">
        <f>IF(K98="收_客户",INDEX(客户信息维护!C:C,MATCH(银行日记账登记!L98,客户信息维护!B:B,0)),IF(K98="支_供应商",INDEX(供应商信息维护!C:C,MATCH(银行日记账登记!L98,供应商信息维护!B:B,0)),""))</f>
        <v>WEN XIN</v>
      </c>
      <c r="N98" t="s">
        <v>535</v>
      </c>
      <c r="P98" t="s">
        <v>533</v>
      </c>
      <c r="Q98" t="s">
        <v>79</v>
      </c>
      <c r="R98" t="s">
        <v>538</v>
      </c>
    </row>
    <row r="99" spans="2:18" hidden="1" x14ac:dyDescent="0.25">
      <c r="B99" t="s">
        <v>55</v>
      </c>
      <c r="C99" t="s">
        <v>127</v>
      </c>
      <c r="I99">
        <v>446.9</v>
      </c>
      <c r="J99" s="10">
        <v>45135</v>
      </c>
      <c r="K99" t="s">
        <v>100</v>
      </c>
      <c r="L99" s="1" t="s">
        <v>527</v>
      </c>
      <c r="M99" s="7" t="str">
        <f>IF(K99="收_客户",INDEX(客户信息维护!C:C,MATCH(银行日记账登记!L99,客户信息维护!B:B,0)),IF(K99="支_供应商",INDEX(供应商信息维护!C:C,MATCH(银行日记账登记!L99,供应商信息维护!B:B,0)),""))</f>
        <v>EURO BAZAR JIN S.L</v>
      </c>
      <c r="N99" t="s">
        <v>534</v>
      </c>
      <c r="P99" t="s">
        <v>533</v>
      </c>
      <c r="Q99" t="s">
        <v>79</v>
      </c>
      <c r="R99" t="s">
        <v>539</v>
      </c>
    </row>
    <row r="100" spans="2:18" hidden="1" x14ac:dyDescent="0.25">
      <c r="B100" t="s">
        <v>55</v>
      </c>
      <c r="C100" t="s">
        <v>127</v>
      </c>
      <c r="I100">
        <v>402.91</v>
      </c>
      <c r="J100" s="10">
        <v>45135</v>
      </c>
      <c r="K100" t="s">
        <v>100</v>
      </c>
      <c r="L100" s="1" t="s">
        <v>529</v>
      </c>
      <c r="M100" s="7" t="str">
        <f>IF(K100="收_客户",INDEX(客户信息维护!C:C,MATCH(银行日记账登记!L100,客户信息维护!B:B,0)),IF(K100="支_供应商",INDEX(供应商信息维护!C:C,MATCH(银行日记账登记!L100,供应商信息维护!B:B,0)),""))</f>
        <v>QIBIAO HUANG</v>
      </c>
      <c r="N100" t="s">
        <v>531</v>
      </c>
      <c r="P100" t="s">
        <v>533</v>
      </c>
      <c r="Q100" t="s">
        <v>79</v>
      </c>
      <c r="R100" t="s">
        <v>540</v>
      </c>
    </row>
    <row r="101" spans="2:18" hidden="1" x14ac:dyDescent="0.25">
      <c r="B101" t="s">
        <v>55</v>
      </c>
      <c r="C101" t="s">
        <v>63</v>
      </c>
      <c r="I101">
        <v>487.95</v>
      </c>
      <c r="J101" s="10">
        <v>45135</v>
      </c>
      <c r="K101" t="s">
        <v>100</v>
      </c>
      <c r="L101" s="1" t="s">
        <v>541</v>
      </c>
      <c r="M101" s="7" t="str">
        <f>IF(K101="收_客户",INDEX(客户信息维护!C:C,MATCH(银行日记账登记!L101,客户信息维护!B:B,0)),IF(K101="支_供应商",INDEX(供应商信息维护!C:C,MATCH(银行日记账登记!L101,供应商信息维护!B:B,0)),""))</f>
        <v>XINGFA 2021 S.L</v>
      </c>
      <c r="N101" t="s">
        <v>543</v>
      </c>
      <c r="Q101" t="s">
        <v>79</v>
      </c>
      <c r="R101" t="s">
        <v>544</v>
      </c>
    </row>
    <row r="102" spans="2:18" hidden="1" x14ac:dyDescent="0.25">
      <c r="B102" t="s">
        <v>60</v>
      </c>
      <c r="C102" t="s">
        <v>66</v>
      </c>
      <c r="I102">
        <v>1387.49</v>
      </c>
      <c r="J102" s="10">
        <v>45135</v>
      </c>
      <c r="K102" t="s">
        <v>100</v>
      </c>
      <c r="L102" s="1" t="s">
        <v>545</v>
      </c>
      <c r="M102" s="7" t="str">
        <f>IF(K102="收_客户",INDEX(客户信息维护!C:C,MATCH(银行日记账登记!L102,客户信息维护!B:B,0)),IF(K102="支_供应商",INDEX(供应商信息维护!C:C,MATCH(银行日记账登记!L102,供应商信息维护!B:B,0)),""))</f>
        <v>XIAOKANG WANG</v>
      </c>
      <c r="N102" t="s">
        <v>547</v>
      </c>
      <c r="Q102" t="s">
        <v>79</v>
      </c>
      <c r="R102" t="s">
        <v>548</v>
      </c>
    </row>
    <row r="103" spans="2:18" hidden="1" x14ac:dyDescent="0.25">
      <c r="B103" t="s">
        <v>55</v>
      </c>
      <c r="C103" t="s">
        <v>127</v>
      </c>
      <c r="I103">
        <v>521.21</v>
      </c>
      <c r="J103" s="10">
        <v>45135</v>
      </c>
      <c r="K103" t="s">
        <v>100</v>
      </c>
      <c r="L103" s="1" t="s">
        <v>551</v>
      </c>
      <c r="M103" s="7" t="str">
        <f>IF(K103="收_客户",INDEX(客户信息维护!C:C,MATCH(银行日记账登记!L103,客户信息维护!B:B,0)),IF(K103="支_供应商",INDEX(供应商信息维护!C:C,MATCH(银行日记账登记!L103,供应商信息维护!B:B,0)),""))</f>
        <v>MI BAZAR S.L 王晓雪</v>
      </c>
      <c r="N103" t="s">
        <v>552</v>
      </c>
      <c r="Q103" t="s">
        <v>79</v>
      </c>
      <c r="R103" t="s">
        <v>556</v>
      </c>
    </row>
    <row r="104" spans="2:18" hidden="1" x14ac:dyDescent="0.25">
      <c r="B104" t="s">
        <v>55</v>
      </c>
      <c r="C104" t="s">
        <v>148</v>
      </c>
      <c r="I104">
        <v>276.25</v>
      </c>
      <c r="J104" s="10">
        <v>45136</v>
      </c>
      <c r="K104" t="s">
        <v>100</v>
      </c>
      <c r="L104" s="1" t="s">
        <v>553</v>
      </c>
      <c r="M104" s="7" t="str">
        <f>IF(K104="收_客户",INDEX(客户信息维护!C:C,MATCH(银行日记账登记!L104,客户信息维护!B:B,0)),IF(K104="支_供应商",INDEX(供应商信息维护!C:C,MATCH(银行日记账登记!L104,供应商信息维护!B:B,0)),""))</f>
        <v>TRESOR TROVE S.L.</v>
      </c>
      <c r="N104" t="s">
        <v>555</v>
      </c>
      <c r="Q104" t="s">
        <v>79</v>
      </c>
      <c r="R104" t="s">
        <v>561</v>
      </c>
    </row>
    <row r="105" spans="2:18" hidden="1" x14ac:dyDescent="0.25">
      <c r="B105" t="s">
        <v>55</v>
      </c>
      <c r="C105" t="s">
        <v>63</v>
      </c>
      <c r="I105">
        <v>2000</v>
      </c>
      <c r="J105" s="10">
        <v>45135</v>
      </c>
      <c r="K105" t="s">
        <v>100</v>
      </c>
      <c r="L105" s="1" t="s">
        <v>557</v>
      </c>
      <c r="M105" s="7" t="str">
        <f>IF(K105="收_客户",INDEX(客户信息维护!C:C,MATCH(银行日记账登记!L105,客户信息维护!B:B,0)),IF(K105="支_供应商",INDEX(供应商信息维护!C:C,MATCH(银行日记账登记!L105,供应商信息维护!B:B,0)),""))</f>
        <v>BAZARHU 2020 S.L</v>
      </c>
      <c r="N105" t="s">
        <v>559</v>
      </c>
      <c r="P105" t="s">
        <v>560</v>
      </c>
      <c r="Q105" t="s">
        <v>79</v>
      </c>
      <c r="R105" t="s">
        <v>562</v>
      </c>
    </row>
    <row r="106" spans="2:18" hidden="1" x14ac:dyDescent="0.25">
      <c r="B106" t="s">
        <v>55</v>
      </c>
      <c r="C106" t="s">
        <v>127</v>
      </c>
      <c r="I106">
        <v>-2524.5700000000002</v>
      </c>
      <c r="J106" s="10">
        <v>45138</v>
      </c>
      <c r="K106" t="s">
        <v>237</v>
      </c>
      <c r="L106" s="1" t="s">
        <v>563</v>
      </c>
      <c r="M106" s="7" t="str">
        <f>IF(K106="收_客户",INDEX(客户信息维护!C:C,MATCH(银行日记账登记!L106,客户信息维护!B:B,0)),IF(K106="支_供应商",INDEX(供应商信息维护!C:C,MATCH(银行日记账登记!L106,供应商信息维护!B:B,0)),""))</f>
        <v/>
      </c>
    </row>
    <row r="107" spans="2:18" hidden="1" x14ac:dyDescent="0.25">
      <c r="B107" t="s">
        <v>55</v>
      </c>
      <c r="C107" t="s">
        <v>127</v>
      </c>
      <c r="I107">
        <v>-187.29</v>
      </c>
      <c r="J107" s="10">
        <v>45138</v>
      </c>
      <c r="K107" t="s">
        <v>237</v>
      </c>
      <c r="L107" s="1" t="s">
        <v>565</v>
      </c>
      <c r="M107" s="7" t="str">
        <f>IF(K107="收_客户",INDEX(客户信息维护!C:C,MATCH(银行日记账登记!L107,客户信息维护!B:B,0)),IF(K107="支_供应商",INDEX(供应商信息维护!C:C,MATCH(银行日记账登记!L107,供应商信息维护!B:B,0)),""))</f>
        <v/>
      </c>
    </row>
    <row r="108" spans="2:18" hidden="1" x14ac:dyDescent="0.25">
      <c r="B108" t="s">
        <v>55</v>
      </c>
      <c r="C108" t="s">
        <v>127</v>
      </c>
      <c r="I108">
        <v>959.95</v>
      </c>
      <c r="J108" s="10">
        <v>45138</v>
      </c>
      <c r="K108" t="s">
        <v>100</v>
      </c>
      <c r="L108" s="1" t="s">
        <v>569</v>
      </c>
      <c r="M108" s="7" t="str">
        <f>IF(K108="收_客户",INDEX(客户信息维护!C:C,MATCH(银行日记账登记!L108,客户信息维护!B:B,0)),IF(K108="支_供应商",INDEX(供应商信息维护!C:C,MATCH(银行日记账登记!L108,供应商信息维护!B:B,0)),""))</f>
        <v>ASIAN GARDEN SECRET S.L</v>
      </c>
      <c r="N108" t="s">
        <v>570</v>
      </c>
      <c r="Q108" t="s">
        <v>79</v>
      </c>
      <c r="R108" t="s">
        <v>571</v>
      </c>
    </row>
    <row r="109" spans="2:18" hidden="1" x14ac:dyDescent="0.25">
      <c r="B109" t="s">
        <v>60</v>
      </c>
      <c r="C109" t="s">
        <v>66</v>
      </c>
      <c r="I109">
        <v>937.23</v>
      </c>
      <c r="J109" s="10">
        <v>45138</v>
      </c>
      <c r="K109" t="s">
        <v>100</v>
      </c>
      <c r="L109" s="1" t="s">
        <v>572</v>
      </c>
      <c r="M109" s="7" t="str">
        <f>IF(K109="收_客户",INDEX(客户信息维护!C:C,MATCH(银行日记账登记!L109,客户信息维护!B:B,0)),IF(K109="支_供应商",INDEX(供应商信息维护!C:C,MATCH(银行日记账登记!L109,供应商信息维护!B:B,0)),""))</f>
        <v>WEIYUE LIU</v>
      </c>
      <c r="N109" t="s">
        <v>574</v>
      </c>
      <c r="Q109" t="s">
        <v>79</v>
      </c>
      <c r="R109" t="s">
        <v>575</v>
      </c>
    </row>
    <row r="110" spans="2:18" hidden="1" x14ac:dyDescent="0.25">
      <c r="B110" t="s">
        <v>55</v>
      </c>
      <c r="C110" t="s">
        <v>63</v>
      </c>
      <c r="I110">
        <v>772.19</v>
      </c>
      <c r="J110" s="10">
        <v>45138</v>
      </c>
      <c r="K110" t="s">
        <v>100</v>
      </c>
      <c r="L110" s="1" t="s">
        <v>576</v>
      </c>
      <c r="M110" s="7" t="str">
        <f>IF(K110="收_客户",INDEX(客户信息维护!C:C,MATCH(银行日记账登记!L110,客户信息维护!B:B,0)),IF(K110="支_供应商",INDEX(供应商信息维护!C:C,MATCH(银行日记账登记!L110,供应商信息维护!B:B,0)),""))</f>
        <v>SUPER BAZAR NOIA S.L</v>
      </c>
      <c r="N110" t="s">
        <v>578</v>
      </c>
      <c r="Q110" t="s">
        <v>79</v>
      </c>
      <c r="R110" t="s">
        <v>585</v>
      </c>
    </row>
    <row r="111" spans="2:18" hidden="1" x14ac:dyDescent="0.25">
      <c r="B111" t="s">
        <v>55</v>
      </c>
      <c r="C111" t="s">
        <v>63</v>
      </c>
      <c r="I111">
        <v>918.58</v>
      </c>
      <c r="J111" s="10">
        <v>45138</v>
      </c>
      <c r="K111" t="s">
        <v>100</v>
      </c>
      <c r="L111" s="1" t="s">
        <v>579</v>
      </c>
      <c r="M111" s="7" t="str">
        <f>IF(K111="收_客户",INDEX(客户信息维护!C:C,MATCH(银行日记账登记!L111,客户信息维护!B:B,0)),IF(K111="支_供应商",INDEX(供应商信息维护!C:C,MATCH(银行日记账登记!L111,供应商信息维护!B:B,0)),""))</f>
        <v>LEI YE</v>
      </c>
      <c r="N111" t="s">
        <v>581</v>
      </c>
      <c r="Q111" t="s">
        <v>79</v>
      </c>
      <c r="R111" t="s">
        <v>586</v>
      </c>
    </row>
    <row r="112" spans="2:18" hidden="1" x14ac:dyDescent="0.25">
      <c r="B112" t="s">
        <v>55</v>
      </c>
      <c r="C112" t="s">
        <v>63</v>
      </c>
      <c r="I112">
        <v>571.88</v>
      </c>
      <c r="J112" s="10">
        <v>45138</v>
      </c>
      <c r="K112" t="s">
        <v>100</v>
      </c>
      <c r="L112" s="1" t="s">
        <v>582</v>
      </c>
      <c r="M112" s="7" t="str">
        <f>IF(K112="收_客户",INDEX(客户信息维护!C:C,MATCH(银行日记账登记!L112,客户信息维护!B:B,0)),IF(K112="支_供应商",INDEX(供应商信息维护!C:C,MATCH(银行日记账登记!L112,供应商信息维护!B:B,0)),""))</f>
        <v>FU LIN</v>
      </c>
      <c r="N112" t="s">
        <v>584</v>
      </c>
      <c r="Q112" t="s">
        <v>79</v>
      </c>
      <c r="R112" t="s">
        <v>587</v>
      </c>
    </row>
    <row r="113" spans="2:18" hidden="1" x14ac:dyDescent="0.25">
      <c r="B113" t="s">
        <v>60</v>
      </c>
      <c r="C113" t="s">
        <v>66</v>
      </c>
      <c r="I113">
        <v>-1327.81</v>
      </c>
      <c r="J113" s="10">
        <v>45138</v>
      </c>
      <c r="K113" t="s">
        <v>457</v>
      </c>
      <c r="M113" s="7" t="e">
        <f>IF(K113="收_客户",INDEX(客户信息维护!C:C,MATCH(银行日记账登记!L113,客户信息维护!B:B,0)),IF(K113="支_供应商",INDEX(供应商信息维护!C:C,MATCH(银行日记账登记!L113,供应商信息维护!B:B,0)),""))</f>
        <v>#N/A</v>
      </c>
      <c r="N113" t="s">
        <v>588</v>
      </c>
      <c r="P113" t="s">
        <v>589</v>
      </c>
    </row>
    <row r="114" spans="2:18" hidden="1" x14ac:dyDescent="0.25">
      <c r="B114" t="s">
        <v>55</v>
      </c>
      <c r="C114" t="s">
        <v>127</v>
      </c>
      <c r="I114">
        <v>635.85</v>
      </c>
      <c r="J114" s="10">
        <v>45139</v>
      </c>
      <c r="K114" t="s">
        <v>100</v>
      </c>
      <c r="L114" s="1" t="s">
        <v>590</v>
      </c>
      <c r="M114" s="7" t="str">
        <f>IF(K114="收_客户",INDEX(客户信息维护!C:C,MATCH(银行日记账登记!L114,客户信息维护!B:B,0)),IF(K114="支_供应商",INDEX(供应商信息维护!C:C,MATCH(银行日记账登记!L114,供应商信息维护!B:B,0)),""))</f>
        <v>XINA CENTER S.L</v>
      </c>
      <c r="N114" t="s">
        <v>592</v>
      </c>
      <c r="P114" t="s">
        <v>533</v>
      </c>
      <c r="Q114" t="s">
        <v>79</v>
      </c>
      <c r="R114" t="s">
        <v>610</v>
      </c>
    </row>
    <row r="115" spans="2:18" hidden="1" x14ac:dyDescent="0.25">
      <c r="B115" t="s">
        <v>55</v>
      </c>
      <c r="C115" t="s">
        <v>127</v>
      </c>
      <c r="I115">
        <v>-3327.29</v>
      </c>
      <c r="J115" s="10">
        <v>45139</v>
      </c>
      <c r="K115" t="s">
        <v>237</v>
      </c>
      <c r="M115" s="7" t="str">
        <f>IF(K115="收_客户",INDEX(客户信息维护!C:C,MATCH(银行日记账登记!L115,客户信息维护!B:B,0)),IF(K115="支_供应商",INDEX(供应商信息维护!C:C,MATCH(银行日记账登记!L115,供应商信息维护!B:B,0)),""))</f>
        <v/>
      </c>
      <c r="N115" t="s">
        <v>790</v>
      </c>
      <c r="P115" t="s">
        <v>589</v>
      </c>
    </row>
    <row r="116" spans="2:18" hidden="1" x14ac:dyDescent="0.25">
      <c r="B116" t="s">
        <v>55</v>
      </c>
      <c r="C116" t="s">
        <v>127</v>
      </c>
      <c r="I116">
        <v>535.21</v>
      </c>
      <c r="J116" s="10">
        <v>45139</v>
      </c>
      <c r="K116" t="s">
        <v>100</v>
      </c>
      <c r="L116" s="1" t="s">
        <v>593</v>
      </c>
      <c r="M116" s="7" t="str">
        <f>IF(K116="收_客户",INDEX(客户信息维护!C:C,MATCH(银行日记账登记!L116,客户信息维护!B:B,0)),IF(K116="支_供应商",INDEX(供应商信息维护!C:C,MATCH(银行日记账登记!L116,供应商信息维护!B:B,0)),""))</f>
        <v>SUPER DENFU S.L</v>
      </c>
      <c r="N116" t="s">
        <v>595</v>
      </c>
      <c r="Q116" t="s">
        <v>79</v>
      </c>
      <c r="R116" t="s">
        <v>611</v>
      </c>
    </row>
    <row r="117" spans="2:18" hidden="1" x14ac:dyDescent="0.25">
      <c r="B117" t="s">
        <v>55</v>
      </c>
      <c r="C117" t="s">
        <v>127</v>
      </c>
      <c r="I117">
        <v>457.63</v>
      </c>
      <c r="J117" s="10">
        <v>45139</v>
      </c>
      <c r="K117" t="s">
        <v>100</v>
      </c>
      <c r="L117" s="1" t="s">
        <v>596</v>
      </c>
      <c r="M117" s="7" t="str">
        <f>IF(K117="收_客户",INDEX(客户信息维护!C:C,MATCH(银行日记账登记!L117,客户信息维护!B:B,0)),IF(K117="支_供应商",INDEX(供应商信息维护!C:C,MATCH(银行日记账登记!L117,供应商信息维护!B:B,0)),""))</f>
        <v>XINGTAI 2011 S.L</v>
      </c>
      <c r="N117" t="s">
        <v>598</v>
      </c>
      <c r="Q117" t="s">
        <v>79</v>
      </c>
      <c r="R117" t="s">
        <v>612</v>
      </c>
    </row>
    <row r="118" spans="2:18" hidden="1" x14ac:dyDescent="0.25">
      <c r="B118" t="s">
        <v>55</v>
      </c>
      <c r="C118" t="s">
        <v>127</v>
      </c>
      <c r="I118">
        <v>-71.81</v>
      </c>
      <c r="J118" s="10">
        <v>45139</v>
      </c>
      <c r="K118" t="s">
        <v>237</v>
      </c>
      <c r="M118" s="7" t="str">
        <f>IF(K118="收_客户",INDEX(客户信息维护!C:C,MATCH(银行日记账登记!L118,客户信息维护!B:B,0)),IF(K118="支_供应商",INDEX(供应商信息维护!C:C,MATCH(银行日记账登记!L118,供应商信息维护!B:B,0)),""))</f>
        <v/>
      </c>
      <c r="N118" t="s">
        <v>356</v>
      </c>
      <c r="P118" t="s">
        <v>599</v>
      </c>
    </row>
    <row r="119" spans="2:18" hidden="1" x14ac:dyDescent="0.25">
      <c r="B119" t="s">
        <v>55</v>
      </c>
      <c r="C119" t="s">
        <v>127</v>
      </c>
      <c r="I119">
        <v>858.19</v>
      </c>
      <c r="J119" s="10">
        <v>45139</v>
      </c>
      <c r="K119" t="s">
        <v>100</v>
      </c>
      <c r="L119" s="1" t="s">
        <v>600</v>
      </c>
      <c r="M119" s="7" t="str">
        <f>IF(K119="收_客户",INDEX(客户信息维护!C:C,MATCH(银行日记账登记!L119,客户信息维护!B:B,0)),IF(K119="支_供应商",INDEX(供应商信息维护!C:C,MATCH(银行日记账登记!L119,供应商信息维护!B:B,0)),""))</f>
        <v>EURO CIEN ASIA BETANZOS S.L</v>
      </c>
      <c r="N119" t="s">
        <v>602</v>
      </c>
      <c r="Q119" t="s">
        <v>79</v>
      </c>
      <c r="R119" t="s">
        <v>613</v>
      </c>
    </row>
    <row r="120" spans="2:18" hidden="1" x14ac:dyDescent="0.25">
      <c r="B120" t="s">
        <v>55</v>
      </c>
      <c r="C120" t="s">
        <v>127</v>
      </c>
      <c r="I120">
        <v>-8214.93</v>
      </c>
      <c r="J120" s="10">
        <v>45139</v>
      </c>
      <c r="K120" t="s">
        <v>457</v>
      </c>
      <c r="M120" s="7" t="e">
        <f>IF(K120="收_客户",INDEX(客户信息维护!C:C,MATCH(银行日记账登记!L120,客户信息维护!B:B,0)),IF(K120="支_供应商",INDEX(供应商信息维护!C:C,MATCH(银行日记账登记!L120,供应商信息维护!B:B,0)),""))</f>
        <v>#N/A</v>
      </c>
      <c r="N120" s="39" t="s">
        <v>791</v>
      </c>
      <c r="P120" t="s">
        <v>603</v>
      </c>
    </row>
    <row r="121" spans="2:18" hidden="1" x14ac:dyDescent="0.25">
      <c r="B121" t="s">
        <v>55</v>
      </c>
      <c r="C121" t="s">
        <v>127</v>
      </c>
      <c r="I121">
        <v>481.8</v>
      </c>
      <c r="J121" s="10">
        <v>45139</v>
      </c>
      <c r="K121" t="s">
        <v>100</v>
      </c>
      <c r="L121" s="1" t="s">
        <v>604</v>
      </c>
      <c r="M121" s="7" t="str">
        <f>IF(K121="收_客户",INDEX(客户信息维护!C:C,MATCH(银行日记账登记!L121,客户信息维护!B:B,0)),IF(K121="支_供应商",INDEX(供应商信息维护!C:C,MATCH(银行日记账登记!L121,供应商信息维护!B:B,0)),""))</f>
        <v>CHENSI HIPERHOGAR S.L</v>
      </c>
      <c r="N121" t="s">
        <v>606</v>
      </c>
      <c r="Q121" t="s">
        <v>79</v>
      </c>
      <c r="R121" t="s">
        <v>614</v>
      </c>
    </row>
    <row r="122" spans="2:18" hidden="1" x14ac:dyDescent="0.25">
      <c r="B122" t="s">
        <v>55</v>
      </c>
      <c r="C122" t="s">
        <v>127</v>
      </c>
      <c r="I122">
        <v>719.23</v>
      </c>
      <c r="J122" s="10">
        <v>45139</v>
      </c>
      <c r="K122" t="s">
        <v>100</v>
      </c>
      <c r="L122" s="1" t="s">
        <v>607</v>
      </c>
      <c r="M122" s="7" t="str">
        <f>IF(K122="收_客户",INDEX(客户信息维护!C:C,MATCH(银行日记账登记!L122,客户信息维护!B:B,0)),IF(K122="支_供应商",INDEX(供应商信息维护!C:C,MATCH(银行日记账登记!L122,供应商信息维护!B:B,0)),""))</f>
        <v>PROPICIO 168 S.L</v>
      </c>
      <c r="N122" t="s">
        <v>609</v>
      </c>
      <c r="Q122" t="s">
        <v>79</v>
      </c>
      <c r="R122" t="s">
        <v>615</v>
      </c>
    </row>
    <row r="123" spans="2:18" hidden="1" x14ac:dyDescent="0.25">
      <c r="B123" t="s">
        <v>55</v>
      </c>
      <c r="C123" t="s">
        <v>127</v>
      </c>
      <c r="I123">
        <v>409.82</v>
      </c>
      <c r="J123" s="10">
        <v>45140</v>
      </c>
      <c r="K123" t="s">
        <v>100</v>
      </c>
      <c r="L123" s="1" t="s">
        <v>616</v>
      </c>
      <c r="M123" s="7" t="str">
        <f>IF(K123="收_客户",INDEX(客户信息维护!C:C,MATCH(银行日记账登记!L123,客户信息维护!B:B,0)),IF(K123="支_供应商",INDEX(供应商信息维护!C:C,MATCH(银行日记账登记!L123,供应商信息维护!B:B,0)),""))</f>
        <v>RENYONG WU</v>
      </c>
      <c r="N123" t="s">
        <v>618</v>
      </c>
      <c r="Q123" t="s">
        <v>79</v>
      </c>
      <c r="R123" t="s">
        <v>622</v>
      </c>
    </row>
    <row r="124" spans="2:18" hidden="1" x14ac:dyDescent="0.25">
      <c r="B124" t="s">
        <v>55</v>
      </c>
      <c r="C124" t="s">
        <v>127</v>
      </c>
      <c r="I124">
        <v>3000</v>
      </c>
      <c r="J124" s="10">
        <v>45140</v>
      </c>
      <c r="K124" t="s">
        <v>263</v>
      </c>
      <c r="M124" s="7" t="str">
        <f>IF(K124="收_客户",INDEX(客户信息维护!C:C,MATCH(银行日记账登记!L124,客户信息维护!B:B,0)),IF(K124="支_供应商",INDEX(供应商信息维护!C:C,MATCH(银行日记账登记!L124,供应商信息维护!B:B,0)),""))</f>
        <v/>
      </c>
      <c r="N124" t="s">
        <v>356</v>
      </c>
      <c r="P124" t="s">
        <v>701</v>
      </c>
    </row>
    <row r="125" spans="2:18" hidden="1" x14ac:dyDescent="0.25">
      <c r="B125" t="s">
        <v>55</v>
      </c>
      <c r="C125" t="s">
        <v>127</v>
      </c>
      <c r="I125">
        <v>529.04</v>
      </c>
      <c r="J125" s="10">
        <v>45140</v>
      </c>
      <c r="K125" t="s">
        <v>100</v>
      </c>
      <c r="L125" s="1" t="s">
        <v>619</v>
      </c>
      <c r="M125" s="7" t="str">
        <f>IF(K125="收_客户",INDEX(客户信息维护!C:C,MATCH(银行日记账登记!L125,客户信息维护!B:B,0)),IF(K125="支_供应商",INDEX(供应商信息维护!C:C,MATCH(银行日记账登记!L125,供应商信息维护!B:B,0)),""))</f>
        <v>LIZU HUANG</v>
      </c>
      <c r="N125" t="s">
        <v>621</v>
      </c>
      <c r="Q125" t="s">
        <v>79</v>
      </c>
      <c r="R125" t="s">
        <v>623</v>
      </c>
    </row>
    <row r="126" spans="2:18" hidden="1" x14ac:dyDescent="0.25">
      <c r="B126" t="s">
        <v>55</v>
      </c>
      <c r="C126" t="s">
        <v>63</v>
      </c>
      <c r="I126">
        <v>4339.88</v>
      </c>
      <c r="J126" s="10">
        <v>45139</v>
      </c>
      <c r="K126" t="s">
        <v>100</v>
      </c>
      <c r="L126" s="1" t="s">
        <v>624</v>
      </c>
      <c r="M126" s="7" t="str">
        <f>IF(K126="收_客户",INDEX(客户信息维护!C:C,MATCH(银行日记账登记!L126,客户信息维护!B:B,0)),IF(K126="支_供应商",INDEX(供应商信息维护!C:C,MATCH(银行日记账登记!L126,供应商信息维护!B:B,0)),""))</f>
        <v>NEW BEST S.L 新东方</v>
      </c>
      <c r="N126" t="s">
        <v>626</v>
      </c>
      <c r="Q126" t="s">
        <v>79</v>
      </c>
      <c r="R126" t="s">
        <v>630</v>
      </c>
    </row>
    <row r="127" spans="2:18" hidden="1" x14ac:dyDescent="0.25">
      <c r="B127" t="s">
        <v>55</v>
      </c>
      <c r="C127" t="s">
        <v>63</v>
      </c>
      <c r="I127">
        <v>-10000</v>
      </c>
      <c r="J127" s="10">
        <v>45139</v>
      </c>
      <c r="K127" t="s">
        <v>457</v>
      </c>
      <c r="M127" s="7" t="e">
        <f>IF(K127="收_客户",INDEX(客户信息维护!C:C,MATCH(银行日记账登记!L127,客户信息维护!B:B,0)),IF(K127="支_供应商",INDEX(供应商信息维护!C:C,MATCH(银行日记账登记!L127,供应商信息维护!B:B,0)),""))</f>
        <v>#N/A</v>
      </c>
      <c r="N127" t="s">
        <v>791</v>
      </c>
      <c r="P127" t="s">
        <v>456</v>
      </c>
    </row>
    <row r="128" spans="2:18" hidden="1" x14ac:dyDescent="0.25">
      <c r="B128" t="s">
        <v>55</v>
      </c>
      <c r="C128" t="s">
        <v>63</v>
      </c>
      <c r="I128">
        <v>1437.04</v>
      </c>
      <c r="J128" s="10">
        <v>45139</v>
      </c>
      <c r="K128" t="s">
        <v>100</v>
      </c>
      <c r="L128" s="1" t="s">
        <v>627</v>
      </c>
      <c r="M128" s="7" t="str">
        <f>IF(K128="收_客户",INDEX(客户信息维护!C:C,MATCH(银行日记账登记!L128,客户信息维护!B:B,0)),IF(K128="支_供应商",INDEX(供应商信息维护!C:C,MATCH(银行日记账登记!L128,供应商信息维护!B:B,0)),""))</f>
        <v>HUI JUN ZI 2020 S.L</v>
      </c>
      <c r="N128" t="s">
        <v>629</v>
      </c>
      <c r="Q128" t="s">
        <v>79</v>
      </c>
      <c r="R128" t="s">
        <v>631</v>
      </c>
    </row>
    <row r="129" spans="2:18" hidden="1" x14ac:dyDescent="0.25">
      <c r="B129" t="s">
        <v>55</v>
      </c>
      <c r="C129" t="s">
        <v>63</v>
      </c>
      <c r="I129">
        <v>525.07000000000005</v>
      </c>
      <c r="J129" s="10">
        <v>45140</v>
      </c>
      <c r="K129" t="s">
        <v>100</v>
      </c>
      <c r="L129" s="1" t="s">
        <v>632</v>
      </c>
      <c r="M129" s="7" t="str">
        <f>IF(K129="收_客户",INDEX(客户信息维护!C:C,MATCH(银行日记账登记!L129,客户信息维护!B:B,0)),IF(K129="支_供应商",INDEX(供应商信息维护!C:C,MATCH(银行日记账登记!L129,供应商信息维护!B:B,0)),""))</f>
        <v>LIDI JIN</v>
      </c>
      <c r="N129" t="s">
        <v>634</v>
      </c>
      <c r="Q129" t="s">
        <v>79</v>
      </c>
      <c r="R129" t="s">
        <v>638</v>
      </c>
    </row>
    <row r="130" spans="2:18" hidden="1" x14ac:dyDescent="0.25">
      <c r="B130" t="s">
        <v>55</v>
      </c>
      <c r="C130" t="s">
        <v>63</v>
      </c>
      <c r="I130">
        <v>344.03</v>
      </c>
      <c r="J130" s="10">
        <v>45140</v>
      </c>
      <c r="K130" t="s">
        <v>100</v>
      </c>
      <c r="L130" s="1" t="s">
        <v>635</v>
      </c>
      <c r="M130" s="7" t="str">
        <f>IF(K130="收_客户",INDEX(客户信息维护!C:C,MATCH(银行日记账登记!L130,客户信息维护!B:B,0)),IF(K130="支_供应商",INDEX(供应商信息维护!C:C,MATCH(银行日记账登记!L130,供应商信息维护!B:B,0)),""))</f>
        <v>LITXU MEGAPARK S.L.</v>
      </c>
      <c r="N130" t="s">
        <v>637</v>
      </c>
      <c r="Q130" t="s">
        <v>79</v>
      </c>
      <c r="R130" t="s">
        <v>639</v>
      </c>
    </row>
    <row r="131" spans="2:18" hidden="1" x14ac:dyDescent="0.25">
      <c r="B131" t="s">
        <v>55</v>
      </c>
      <c r="C131" t="s">
        <v>127</v>
      </c>
      <c r="I131">
        <v>199.13</v>
      </c>
      <c r="J131" s="10">
        <v>45141</v>
      </c>
      <c r="K131" t="s">
        <v>100</v>
      </c>
      <c r="L131" s="1" t="s">
        <v>640</v>
      </c>
      <c r="M131" s="7" t="str">
        <f>IF(K131="收_客户",INDEX(客户信息维护!C:C,MATCH(银行日记账登记!L131,客户信息维护!B:B,0)),IF(K131="支_供应商",INDEX(供应商信息维护!C:C,MATCH(银行日记账登记!L131,供应商信息维护!B:B,0)),""))</f>
        <v>YU CHEN</v>
      </c>
      <c r="N131" t="s">
        <v>642</v>
      </c>
      <c r="P131" t="s">
        <v>533</v>
      </c>
      <c r="Q131" t="s">
        <v>79</v>
      </c>
      <c r="R131" t="s">
        <v>656</v>
      </c>
    </row>
    <row r="132" spans="2:18" hidden="1" x14ac:dyDescent="0.25">
      <c r="B132" t="s">
        <v>55</v>
      </c>
      <c r="C132" t="s">
        <v>127</v>
      </c>
      <c r="I132">
        <v>221.35</v>
      </c>
      <c r="J132" s="10">
        <v>45141</v>
      </c>
      <c r="K132" t="s">
        <v>100</v>
      </c>
      <c r="L132" s="1" t="s">
        <v>75</v>
      </c>
      <c r="M132" s="7" t="str">
        <f>IF(K132="收_客户",INDEX(客户信息维护!C:C,MATCH(银行日记账登记!L132,客户信息维护!B:B,0)),IF(K132="支_供应商",INDEX(供应商信息维护!C:C,MATCH(银行日记账登记!L132,供应商信息维护!B:B,0)),""))</f>
        <v>TEMING CHENG</v>
      </c>
      <c r="N132" t="s">
        <v>643</v>
      </c>
      <c r="Q132" t="s">
        <v>79</v>
      </c>
      <c r="R132" t="s">
        <v>657</v>
      </c>
    </row>
    <row r="133" spans="2:18" hidden="1" x14ac:dyDescent="0.25">
      <c r="B133" t="s">
        <v>55</v>
      </c>
      <c r="C133" t="s">
        <v>127</v>
      </c>
      <c r="I133">
        <v>-4786.5</v>
      </c>
      <c r="J133" s="10">
        <v>45141</v>
      </c>
      <c r="K133" t="s">
        <v>237</v>
      </c>
      <c r="M133" s="7" t="str">
        <f>IF(K133="收_客户",INDEX(客户信息维护!C:C,MATCH(银行日记账登记!L133,客户信息维护!B:B,0)),IF(K133="支_供应商",INDEX(供应商信息维护!C:C,MATCH(银行日记账登记!L133,供应商信息维护!B:B,0)),""))</f>
        <v/>
      </c>
      <c r="N133" t="s">
        <v>694</v>
      </c>
      <c r="P133" t="s">
        <v>693</v>
      </c>
    </row>
    <row r="134" spans="2:18" hidden="1" x14ac:dyDescent="0.25">
      <c r="B134" t="s">
        <v>55</v>
      </c>
      <c r="C134" t="s">
        <v>127</v>
      </c>
      <c r="I134">
        <v>2662.35</v>
      </c>
      <c r="J134" s="10">
        <v>45142</v>
      </c>
      <c r="K134" t="s">
        <v>100</v>
      </c>
      <c r="L134" s="1" t="s">
        <v>644</v>
      </c>
      <c r="M134" s="7" t="str">
        <f>IF(K134="收_客户",INDEX(客户信息维护!C:C,MATCH(银行日记账登记!L134,客户信息维护!B:B,0)),IF(K134="支_供应商",INDEX(供应商信息维护!C:C,MATCH(银行日记账登记!L134,供应商信息维护!B:B,0)),""))</f>
        <v>VIURE VIC 2023 S.L</v>
      </c>
      <c r="N134" t="s">
        <v>646</v>
      </c>
      <c r="Q134" t="s">
        <v>79</v>
      </c>
      <c r="R134" t="s">
        <v>658</v>
      </c>
    </row>
    <row r="135" spans="2:18" hidden="1" x14ac:dyDescent="0.25">
      <c r="B135" t="s">
        <v>55</v>
      </c>
      <c r="C135" t="s">
        <v>127</v>
      </c>
      <c r="I135">
        <v>248.87</v>
      </c>
      <c r="J135" s="10">
        <v>45142</v>
      </c>
      <c r="K135" t="s">
        <v>100</v>
      </c>
      <c r="L135" s="1" t="s">
        <v>647</v>
      </c>
      <c r="M135" s="7" t="str">
        <f>IF(K135="收_客户",INDEX(客户信息维护!C:C,MATCH(银行日记账登记!L135,客户信息维护!B:B,0)),IF(K135="支_供应商",INDEX(供应商信息维护!C:C,MATCH(银行日记账登记!L135,供应商信息维护!B:B,0)),""))</f>
        <v>BILUAN CHEN</v>
      </c>
      <c r="N135" t="s">
        <v>649</v>
      </c>
      <c r="P135" t="s">
        <v>533</v>
      </c>
      <c r="Q135" t="s">
        <v>79</v>
      </c>
      <c r="R135" t="s">
        <v>659</v>
      </c>
    </row>
    <row r="136" spans="2:18" hidden="1" x14ac:dyDescent="0.25">
      <c r="B136" t="s">
        <v>55</v>
      </c>
      <c r="C136" t="s">
        <v>127</v>
      </c>
      <c r="I136">
        <v>157.41</v>
      </c>
      <c r="J136" s="10">
        <v>45142</v>
      </c>
      <c r="K136" t="s">
        <v>100</v>
      </c>
      <c r="L136" s="1" t="s">
        <v>650</v>
      </c>
      <c r="M136" s="7" t="str">
        <f>IF(K136="收_客户",INDEX(客户信息维护!C:C,MATCH(银行日记账登记!L136,客户信息维护!B:B,0)),IF(K136="支_供应商",INDEX(供应商信息维护!C:C,MATCH(银行日记账登记!L136,供应商信息维护!B:B,0)),""))</f>
        <v>JIA SHUN HE XIANG S.L</v>
      </c>
      <c r="N136" t="s">
        <v>652</v>
      </c>
      <c r="P136" t="s">
        <v>533</v>
      </c>
      <c r="Q136" t="s">
        <v>79</v>
      </c>
      <c r="R136" t="s">
        <v>660</v>
      </c>
    </row>
    <row r="137" spans="2:18" hidden="1" x14ac:dyDescent="0.25">
      <c r="B137" t="s">
        <v>55</v>
      </c>
      <c r="C137" t="s">
        <v>127</v>
      </c>
      <c r="I137">
        <v>261.58999999999997</v>
      </c>
      <c r="J137" s="10">
        <v>45142</v>
      </c>
      <c r="K137" t="s">
        <v>100</v>
      </c>
      <c r="L137" s="1" t="s">
        <v>653</v>
      </c>
      <c r="M137" s="7" t="str">
        <f>IF(K137="收_客户",INDEX(客户信息维护!C:C,MATCH(银行日记账登记!L137,客户信息维护!B:B,0)),IF(K137="支_供应商",INDEX(供应商信息维护!C:C,MATCH(银行日记账登记!L137,供应商信息维护!B:B,0)),""))</f>
        <v>CHEN XUEPEI</v>
      </c>
      <c r="N137" t="s">
        <v>655</v>
      </c>
      <c r="P137" t="s">
        <v>533</v>
      </c>
      <c r="Q137" t="s">
        <v>79</v>
      </c>
      <c r="R137" t="s">
        <v>661</v>
      </c>
    </row>
    <row r="138" spans="2:18" hidden="1" x14ac:dyDescent="0.25">
      <c r="B138" t="s">
        <v>55</v>
      </c>
      <c r="C138" t="s">
        <v>127</v>
      </c>
      <c r="I138">
        <v>14000</v>
      </c>
      <c r="J138" s="10">
        <v>45142</v>
      </c>
      <c r="K138" t="s">
        <v>263</v>
      </c>
      <c r="M138" s="7" t="str">
        <f>IF(K138="收_客户",INDEX(客户信息维护!C:C,MATCH(银行日记账登记!L138,客户信息维护!B:B,0)),IF(K138="支_供应商",INDEX(供应商信息维护!C:C,MATCH(银行日记账登记!L138,供应商信息维护!B:B,0)),""))</f>
        <v/>
      </c>
      <c r="N138" t="s">
        <v>356</v>
      </c>
      <c r="P138" t="s">
        <v>701</v>
      </c>
    </row>
    <row r="139" spans="2:18" hidden="1" x14ac:dyDescent="0.25">
      <c r="B139" t="s">
        <v>55</v>
      </c>
      <c r="C139" t="s">
        <v>63</v>
      </c>
      <c r="I139">
        <v>3500</v>
      </c>
      <c r="J139" s="10">
        <v>45139</v>
      </c>
      <c r="K139" t="s">
        <v>100</v>
      </c>
      <c r="L139" s="1" t="s">
        <v>662</v>
      </c>
      <c r="M139" s="7" t="str">
        <f>IF(K139="收_客户",INDEX(客户信息维护!C:C,MATCH(银行日记账登记!L139,客户信息维护!B:B,0)),IF(K139="支_供应商",INDEX(供应商信息维护!C:C,MATCH(银行日记账登记!L139,供应商信息维护!B:B,0)),""))</f>
        <v>STOCK IN SPAIN ELECTRONICS S.L 步步高</v>
      </c>
      <c r="N139" t="s">
        <v>664</v>
      </c>
      <c r="P139" t="s">
        <v>303</v>
      </c>
      <c r="Q139" t="s">
        <v>79</v>
      </c>
      <c r="R139" t="s">
        <v>669</v>
      </c>
    </row>
    <row r="140" spans="2:18" hidden="1" x14ac:dyDescent="0.25">
      <c r="B140" t="s">
        <v>55</v>
      </c>
      <c r="C140" t="s">
        <v>63</v>
      </c>
      <c r="I140">
        <v>869.18</v>
      </c>
      <c r="J140" s="10">
        <v>45139</v>
      </c>
      <c r="K140" t="s">
        <v>100</v>
      </c>
      <c r="L140" s="1" t="s">
        <v>665</v>
      </c>
      <c r="M140" s="7" t="str">
        <f>IF(K140="收_客户",INDEX(客户信息维护!C:C,MATCH(银行日记账登记!L140,客户信息维护!B:B,0)),IF(K140="支_供应商",INDEX(供应商信息维护!C:C,MATCH(银行日记账登记!L140,供应商信息维护!B:B,0)),""))</f>
        <v>MARK ZUX S.L.</v>
      </c>
      <c r="N140" t="s">
        <v>668</v>
      </c>
      <c r="P140" t="s">
        <v>303</v>
      </c>
      <c r="Q140" t="s">
        <v>79</v>
      </c>
      <c r="R140" t="s">
        <v>670</v>
      </c>
    </row>
    <row r="141" spans="2:18" hidden="1" x14ac:dyDescent="0.25">
      <c r="B141" t="s">
        <v>55</v>
      </c>
      <c r="C141" t="s">
        <v>366</v>
      </c>
      <c r="I141">
        <v>10000</v>
      </c>
      <c r="J141" s="10">
        <v>45135</v>
      </c>
      <c r="K141" t="s">
        <v>263</v>
      </c>
      <c r="M141" s="7" t="str">
        <f>IF(K141="收_客户",INDEX(客户信息维护!C:C,MATCH(银行日记账登记!L141,客户信息维护!B:B,0)),IF(K141="支_供应商",INDEX(供应商信息维护!C:C,MATCH(银行日记账登记!L141,供应商信息维护!B:B,0)),""))</f>
        <v/>
      </c>
      <c r="P141" t="s">
        <v>671</v>
      </c>
    </row>
    <row r="142" spans="2:18" hidden="1" x14ac:dyDescent="0.25">
      <c r="B142" t="s">
        <v>55</v>
      </c>
      <c r="C142" t="s">
        <v>366</v>
      </c>
      <c r="I142">
        <v>-3</v>
      </c>
      <c r="J142" s="10">
        <v>45139</v>
      </c>
      <c r="K142" t="s">
        <v>237</v>
      </c>
      <c r="M142" s="7" t="str">
        <f>IF(K142="收_客户",INDEX(客户信息维护!C:C,MATCH(银行日记账登记!L142,客户信息维护!B:B,0)),IF(K142="支_供应商",INDEX(供应商信息维护!C:C,MATCH(银行日记账登记!L142,供应商信息维护!B:B,0)),""))</f>
        <v/>
      </c>
      <c r="P142" t="s">
        <v>599</v>
      </c>
    </row>
    <row r="143" spans="2:18" hidden="1" x14ac:dyDescent="0.25">
      <c r="B143" t="s">
        <v>55</v>
      </c>
      <c r="C143" t="s">
        <v>366</v>
      </c>
      <c r="I143">
        <v>-3000</v>
      </c>
      <c r="J143" s="10">
        <v>45139</v>
      </c>
      <c r="K143" t="s">
        <v>263</v>
      </c>
      <c r="M143" s="7" t="str">
        <f>IF(K143="收_客户",INDEX(客户信息维护!C:C,MATCH(银行日记账登记!L143,客户信息维护!B:B,0)),IF(K143="支_供应商",INDEX(供应商信息维护!C:C,MATCH(银行日记账登记!L143,供应商信息维护!B:B,0)),""))</f>
        <v/>
      </c>
      <c r="P143" t="s">
        <v>672</v>
      </c>
    </row>
    <row r="144" spans="2:18" hidden="1" x14ac:dyDescent="0.25">
      <c r="B144" t="s">
        <v>55</v>
      </c>
      <c r="C144" t="s">
        <v>366</v>
      </c>
      <c r="I144">
        <v>5000</v>
      </c>
      <c r="J144" s="10">
        <v>45139</v>
      </c>
      <c r="K144" t="s">
        <v>263</v>
      </c>
      <c r="M144" s="7" t="str">
        <f>IF(K144="收_客户",INDEX(客户信息维护!C:C,MATCH(银行日记账登记!L144,客户信息维护!B:B,0)),IF(K144="支_供应商",INDEX(供应商信息维护!C:C,MATCH(银行日记账登记!L144,供应商信息维护!B:B,0)),""))</f>
        <v/>
      </c>
      <c r="P144" t="s">
        <v>673</v>
      </c>
    </row>
    <row r="145" spans="2:18" hidden="1" x14ac:dyDescent="0.25">
      <c r="B145" t="s">
        <v>55</v>
      </c>
      <c r="C145" t="s">
        <v>366</v>
      </c>
      <c r="I145">
        <v>-12</v>
      </c>
      <c r="J145" s="10">
        <v>45139</v>
      </c>
      <c r="K145" t="s">
        <v>237</v>
      </c>
      <c r="M145" s="7" t="str">
        <f>IF(K145="收_客户",INDEX(客户信息维护!C:C,MATCH(银行日记账登记!L145,客户信息维护!B:B,0)),IF(K145="支_供应商",INDEX(供应商信息维护!C:C,MATCH(银行日记账登记!L145,供应商信息维护!B:B,0)),""))</f>
        <v/>
      </c>
    </row>
    <row r="146" spans="2:18" hidden="1" x14ac:dyDescent="0.25">
      <c r="B146" t="s">
        <v>55</v>
      </c>
      <c r="C146" t="s">
        <v>366</v>
      </c>
      <c r="I146">
        <v>-14000</v>
      </c>
      <c r="J146" s="10">
        <v>45141</v>
      </c>
      <c r="K146" t="s">
        <v>263</v>
      </c>
      <c r="M146" s="7" t="str">
        <f>IF(K146="收_客户",INDEX(客户信息维护!C:C,MATCH(银行日记账登记!L146,客户信息维护!B:B,0)),IF(K146="支_供应商",INDEX(供应商信息维护!C:C,MATCH(银行日记账登记!L146,供应商信息维护!B:B,0)),""))</f>
        <v/>
      </c>
      <c r="P146" t="s">
        <v>672</v>
      </c>
    </row>
    <row r="147" spans="2:18" hidden="1" x14ac:dyDescent="0.25">
      <c r="B147" t="s">
        <v>55</v>
      </c>
      <c r="C147" t="s">
        <v>366</v>
      </c>
      <c r="I147">
        <v>-3</v>
      </c>
      <c r="J147" s="10">
        <v>45141</v>
      </c>
      <c r="K147" t="s">
        <v>237</v>
      </c>
      <c r="M147" s="7" t="str">
        <f>IF(K147="收_客户",INDEX(客户信息维护!C:C,MATCH(银行日记账登记!L147,客户信息维护!B:B,0)),IF(K147="支_供应商",INDEX(供应商信息维护!C:C,MATCH(银行日记账登记!L147,供应商信息维护!B:B,0)),""))</f>
        <v/>
      </c>
    </row>
    <row r="148" spans="2:18" hidden="1" x14ac:dyDescent="0.25">
      <c r="B148" t="s">
        <v>55</v>
      </c>
      <c r="C148" t="s">
        <v>127</v>
      </c>
      <c r="I148">
        <v>166.31</v>
      </c>
      <c r="J148" s="10">
        <v>45143</v>
      </c>
      <c r="K148" t="s">
        <v>100</v>
      </c>
      <c r="L148" s="1" t="s">
        <v>676</v>
      </c>
      <c r="M148" s="7" t="str">
        <f>IF(K148="收_客户",INDEX(客户信息维护!C:C,MATCH(银行日记账登记!L148,客户信息维护!B:B,0)),IF(K148="支_供应商",INDEX(供应商信息维护!C:C,MATCH(银行日记账登记!L148,供应商信息维护!B:B,0)),""))</f>
        <v>CORTECHINO JJZ S.L</v>
      </c>
      <c r="N148" t="s">
        <v>674</v>
      </c>
      <c r="P148" t="s">
        <v>533</v>
      </c>
      <c r="Q148" t="s">
        <v>79</v>
      </c>
      <c r="R148" t="s">
        <v>680</v>
      </c>
    </row>
    <row r="149" spans="2:18" hidden="1" x14ac:dyDescent="0.25">
      <c r="B149" t="s">
        <v>55</v>
      </c>
      <c r="C149" t="s">
        <v>127</v>
      </c>
      <c r="I149">
        <v>516.14</v>
      </c>
      <c r="J149" s="10">
        <v>45143</v>
      </c>
      <c r="K149" t="s">
        <v>100</v>
      </c>
      <c r="L149" s="1" t="s">
        <v>677</v>
      </c>
      <c r="M149" s="7" t="str">
        <f>IF(K149="收_客户",INDEX(客户信息维护!C:C,MATCH(银行日记账登记!L149,客户信息维护!B:B,0)),IF(K149="支_供应商",INDEX(供应商信息维护!C:C,MATCH(银行日记账登记!L149,供应商信息维护!B:B,0)),""))</f>
        <v>JINGYI ZHU</v>
      </c>
      <c r="N149" t="s">
        <v>679</v>
      </c>
      <c r="Q149" t="s">
        <v>79</v>
      </c>
      <c r="R149" t="s">
        <v>681</v>
      </c>
    </row>
    <row r="150" spans="2:18" hidden="1" x14ac:dyDescent="0.25">
      <c r="B150" t="s">
        <v>55</v>
      </c>
      <c r="C150" t="s">
        <v>63</v>
      </c>
      <c r="I150">
        <v>215.08</v>
      </c>
      <c r="J150" s="10">
        <v>45142</v>
      </c>
      <c r="K150" t="s">
        <v>100</v>
      </c>
      <c r="L150" s="1" t="s">
        <v>682</v>
      </c>
      <c r="M150" s="7" t="str">
        <f>IF(K150="收_客户",INDEX(客户信息维护!C:C,MATCH(银行日记账登记!L150,客户信息维护!B:B,0)),IF(K150="支_供应商",INDEX(供应商信息维护!C:C,MATCH(银行日记账登记!L150,供应商信息维护!B:B,0)),""))</f>
        <v>CHEN YIBING</v>
      </c>
      <c r="N150" t="s">
        <v>684</v>
      </c>
      <c r="Q150" t="s">
        <v>79</v>
      </c>
      <c r="R150" t="s">
        <v>690</v>
      </c>
    </row>
    <row r="151" spans="2:18" hidden="1" x14ac:dyDescent="0.25">
      <c r="B151" t="s">
        <v>55</v>
      </c>
      <c r="C151" t="s">
        <v>63</v>
      </c>
      <c r="I151">
        <v>3062.33</v>
      </c>
      <c r="J151" s="10">
        <v>45142</v>
      </c>
      <c r="K151" t="s">
        <v>100</v>
      </c>
      <c r="L151" s="1" t="s">
        <v>685</v>
      </c>
      <c r="M151" s="7" t="str">
        <f>IF(K151="收_客户",INDEX(客户信息维护!C:C,MATCH(银行日记账登记!L151,客户信息维护!B:B,0)),IF(K151="支_供应商",INDEX(供应商信息维护!C:C,MATCH(银行日记账登记!L151,供应商信息维护!B:B,0)),""))</f>
        <v>KUNFANG ZHU</v>
      </c>
      <c r="N151" t="s">
        <v>688</v>
      </c>
      <c r="Q151" t="s">
        <v>79</v>
      </c>
      <c r="R151" t="s">
        <v>691</v>
      </c>
    </row>
    <row r="152" spans="2:18" hidden="1" x14ac:dyDescent="0.25">
      <c r="B152" t="s">
        <v>55</v>
      </c>
      <c r="C152" t="s">
        <v>63</v>
      </c>
      <c r="I152">
        <v>3062.33</v>
      </c>
      <c r="J152" s="10">
        <v>45142</v>
      </c>
      <c r="K152" t="s">
        <v>100</v>
      </c>
      <c r="L152" s="1" t="s">
        <v>685</v>
      </c>
      <c r="M152" s="7" t="str">
        <f>IF(K152="收_客户",INDEX(客户信息维护!C:C,MATCH(银行日记账登记!L152,客户信息维护!B:B,0)),IF(K152="支_供应商",INDEX(供应商信息维护!C:C,MATCH(银行日记账登记!L152,供应商信息维护!B:B,0)),""))</f>
        <v>KUNFANG ZHU</v>
      </c>
      <c r="N152" t="s">
        <v>687</v>
      </c>
      <c r="P152" t="s">
        <v>689</v>
      </c>
      <c r="Q152" t="s">
        <v>79</v>
      </c>
      <c r="R152" t="s">
        <v>692</v>
      </c>
    </row>
    <row r="153" spans="2:18" hidden="1" x14ac:dyDescent="0.25">
      <c r="B153" t="s">
        <v>55</v>
      </c>
      <c r="C153" t="s">
        <v>127</v>
      </c>
      <c r="I153">
        <v>-20000</v>
      </c>
      <c r="J153" s="10">
        <v>45145</v>
      </c>
      <c r="K153" t="s">
        <v>263</v>
      </c>
      <c r="M153" s="7" t="str">
        <f>IF(K153="收_客户",INDEX(客户信息维护!C:C,MATCH(银行日记账登记!L153,客户信息维护!B:B,0)),IF(K153="支_供应商",INDEX(供应商信息维护!C:C,MATCH(银行日记账登记!L153,供应商信息维护!B:B,0)),""))</f>
        <v/>
      </c>
      <c r="N153" t="s">
        <v>699</v>
      </c>
      <c r="P153" t="s">
        <v>700</v>
      </c>
    </row>
    <row r="154" spans="2:18" hidden="1" x14ac:dyDescent="0.25">
      <c r="B154" t="s">
        <v>55</v>
      </c>
      <c r="C154" t="s">
        <v>127</v>
      </c>
      <c r="I154">
        <v>370.7</v>
      </c>
      <c r="J154" s="10">
        <v>45145</v>
      </c>
      <c r="K154" t="s">
        <v>100</v>
      </c>
      <c r="L154" s="1" t="s">
        <v>695</v>
      </c>
      <c r="M154" s="7" t="str">
        <f>IF(K154="收_客户",INDEX(客户信息维护!C:C,MATCH(银行日记账登记!L154,客户信息维护!B:B,0)),IF(K154="支_供应商",INDEX(供应商信息维护!C:C,MATCH(银行日记账登记!L154,供应商信息维护!B:B,0)),""))</f>
        <v>CHENG HONG</v>
      </c>
      <c r="N154" t="s">
        <v>697</v>
      </c>
      <c r="Q154" t="s">
        <v>79</v>
      </c>
      <c r="R154" t="s">
        <v>698</v>
      </c>
    </row>
    <row r="155" spans="2:18" hidden="1" x14ac:dyDescent="0.25">
      <c r="B155" t="s">
        <v>55</v>
      </c>
      <c r="C155" t="s">
        <v>63</v>
      </c>
      <c r="I155">
        <v>398.88</v>
      </c>
      <c r="J155" s="10">
        <v>45145</v>
      </c>
      <c r="K155" t="s">
        <v>100</v>
      </c>
      <c r="L155" s="1" t="s">
        <v>702</v>
      </c>
      <c r="M155" s="7" t="str">
        <f>IF(K155="收_客户",INDEX(客户信息维护!C:C,MATCH(银行日记账登记!L155,客户信息维护!B:B,0)),IF(K155="支_供应商",INDEX(供应商信息维护!C:C,MATCH(银行日记账登记!L155,供应商信息维护!B:B,0)),""))</f>
        <v>LIFEN LIU</v>
      </c>
      <c r="N155" t="s">
        <v>704</v>
      </c>
      <c r="Q155" t="s">
        <v>79</v>
      </c>
      <c r="R155" t="s">
        <v>719</v>
      </c>
    </row>
    <row r="156" spans="2:18" hidden="1" x14ac:dyDescent="0.25">
      <c r="B156" t="s">
        <v>55</v>
      </c>
      <c r="C156" t="s">
        <v>63</v>
      </c>
      <c r="I156">
        <v>-6104.45</v>
      </c>
      <c r="J156" s="10">
        <v>45145</v>
      </c>
      <c r="K156" t="s">
        <v>237</v>
      </c>
      <c r="L156" s="1" t="s">
        <v>707</v>
      </c>
      <c r="M156" s="7" t="str">
        <f>IF(K156="收_客户",INDEX(客户信息维护!C:C,MATCH(银行日记账登记!L156,客户信息维护!B:B,0)),IF(K156="支_供应商",INDEX(供应商信息维护!C:C,MATCH(银行日记账登记!L156,供应商信息维护!B:B,0)),""))</f>
        <v/>
      </c>
      <c r="N156" t="s">
        <v>709</v>
      </c>
    </row>
    <row r="157" spans="2:18" hidden="1" x14ac:dyDescent="0.25">
      <c r="B157" t="s">
        <v>55</v>
      </c>
      <c r="C157" t="s">
        <v>63</v>
      </c>
      <c r="I157">
        <v>-1806.58</v>
      </c>
      <c r="J157" s="10">
        <v>45145</v>
      </c>
      <c r="K157" t="s">
        <v>237</v>
      </c>
      <c r="L157" s="1" t="s">
        <v>705</v>
      </c>
      <c r="M157" s="7" t="str">
        <f>IF(K157="收_客户",INDEX(客户信息维护!C:C,MATCH(银行日记账登记!L157,客户信息维护!B:B,0)),IF(K157="支_供应商",INDEX(供应商信息维护!C:C,MATCH(银行日记账登记!L157,供应商信息维护!B:B,0)),""))</f>
        <v/>
      </c>
      <c r="N157" t="s">
        <v>356</v>
      </c>
    </row>
    <row r="158" spans="2:18" hidden="1" x14ac:dyDescent="0.25">
      <c r="B158" t="s">
        <v>55</v>
      </c>
      <c r="C158" t="s">
        <v>63</v>
      </c>
      <c r="I158">
        <v>-639.42999999999995</v>
      </c>
      <c r="J158" s="10">
        <v>45145</v>
      </c>
      <c r="K158" t="s">
        <v>237</v>
      </c>
      <c r="L158" s="1" t="s">
        <v>705</v>
      </c>
      <c r="M158" s="7" t="str">
        <f>IF(K159="收_客户",INDEX(客户信息维护!C:C,MATCH(银行日记账登记!L158,客户信息维护!B:B,0)),IF(K159="支_供应商",INDEX(供应商信息维护!C:C,MATCH(银行日记账登记!L158,供应商信息维护!B:B,0)),""))</f>
        <v/>
      </c>
      <c r="N158" t="s">
        <v>356</v>
      </c>
    </row>
    <row r="159" spans="2:18" hidden="1" x14ac:dyDescent="0.25">
      <c r="B159" t="s">
        <v>55</v>
      </c>
      <c r="C159" t="s">
        <v>63</v>
      </c>
      <c r="I159">
        <v>-945.66</v>
      </c>
      <c r="J159" s="10">
        <v>45145</v>
      </c>
      <c r="K159" t="s">
        <v>237</v>
      </c>
      <c r="L159" s="1" t="s">
        <v>705</v>
      </c>
      <c r="M159" s="7" t="str">
        <f>IF(K160="收_客户",INDEX(客户信息维护!C:C,MATCH(银行日记账登记!L159,客户信息维护!B:B,0)),IF(K160="支_供应商",INDEX(供应商信息维护!C:C,MATCH(银行日记账登记!L159,供应商信息维护!B:B,0)),""))</f>
        <v/>
      </c>
      <c r="N159" t="s">
        <v>356</v>
      </c>
    </row>
    <row r="160" spans="2:18" hidden="1" x14ac:dyDescent="0.25">
      <c r="B160" t="s">
        <v>55</v>
      </c>
      <c r="C160" t="s">
        <v>63</v>
      </c>
      <c r="I160">
        <v>-1237.56</v>
      </c>
      <c r="J160" s="10">
        <v>45145</v>
      </c>
      <c r="K160" t="s">
        <v>237</v>
      </c>
      <c r="L160" s="1" t="s">
        <v>705</v>
      </c>
      <c r="M160" s="7" t="str">
        <f>IF(K161="收_客户",INDEX(客户信息维护!C:C,MATCH(银行日记账登记!L160,客户信息维护!B:B,0)),IF(K161="支_供应商",INDEX(供应商信息维护!C:C,MATCH(银行日记账登记!L160,供应商信息维护!B:B,0)),""))</f>
        <v/>
      </c>
      <c r="N160" t="s">
        <v>356</v>
      </c>
    </row>
    <row r="161" spans="2:18" hidden="1" x14ac:dyDescent="0.25">
      <c r="B161" t="s">
        <v>55</v>
      </c>
      <c r="C161" t="s">
        <v>63</v>
      </c>
      <c r="I161">
        <v>-1214.01</v>
      </c>
      <c r="J161" s="10">
        <v>45145</v>
      </c>
      <c r="K161" t="s">
        <v>237</v>
      </c>
      <c r="L161" s="1" t="s">
        <v>705</v>
      </c>
      <c r="M161" s="7" t="str">
        <f>IF(K162="收_客户",INDEX(客户信息维护!C:C,MATCH(银行日记账登记!L161,客户信息维护!B:B,0)),IF(K162="支_供应商",INDEX(供应商信息维护!C:C,MATCH(银行日记账登记!L161,供应商信息维护!B:B,0)),""))</f>
        <v/>
      </c>
      <c r="N161" t="s">
        <v>356</v>
      </c>
    </row>
    <row r="162" spans="2:18" hidden="1" x14ac:dyDescent="0.25">
      <c r="B162" t="s">
        <v>55</v>
      </c>
      <c r="C162" t="s">
        <v>63</v>
      </c>
      <c r="I162">
        <v>-1237.56</v>
      </c>
      <c r="J162" s="10">
        <v>45145</v>
      </c>
      <c r="K162" t="s">
        <v>237</v>
      </c>
      <c r="L162" s="1" t="s">
        <v>705</v>
      </c>
      <c r="M162" s="7" t="str">
        <f>IF(K163="收_客户",INDEX(客户信息维护!C:C,MATCH(银行日记账登记!L162,客户信息维护!B:B,0)),IF(K163="支_供应商",INDEX(供应商信息维护!C:C,MATCH(银行日记账登记!L162,供应商信息维护!B:B,0)),""))</f>
        <v/>
      </c>
      <c r="N162" t="s">
        <v>356</v>
      </c>
    </row>
    <row r="163" spans="2:18" hidden="1" x14ac:dyDescent="0.25">
      <c r="B163" t="s">
        <v>55</v>
      </c>
      <c r="C163" t="s">
        <v>63</v>
      </c>
      <c r="I163">
        <v>-383.65</v>
      </c>
      <c r="J163" s="10">
        <v>45145</v>
      </c>
      <c r="K163" t="s">
        <v>237</v>
      </c>
      <c r="L163" s="1" t="s">
        <v>705</v>
      </c>
      <c r="M163" s="7" t="str">
        <f>IF(K164="收_客户",INDEX(客户信息维护!C:C,MATCH(银行日记账登记!L163,客户信息维护!B:B,0)),IF(K164="支_供应商",INDEX(供应商信息维护!C:C,MATCH(银行日记账登记!L163,供应商信息维护!B:B,0)),""))</f>
        <v/>
      </c>
      <c r="N163" t="s">
        <v>356</v>
      </c>
    </row>
    <row r="164" spans="2:18" hidden="1" x14ac:dyDescent="0.25">
      <c r="B164" t="s">
        <v>55</v>
      </c>
      <c r="C164" t="s">
        <v>63</v>
      </c>
      <c r="I164">
        <v>-678.29</v>
      </c>
      <c r="J164" s="10">
        <v>45145</v>
      </c>
      <c r="K164" t="s">
        <v>237</v>
      </c>
      <c r="L164" s="1" t="s">
        <v>705</v>
      </c>
      <c r="M164" s="7" t="e">
        <f>IF(#REF!="收_客户",INDEX(客户信息维护!C:C,MATCH(银行日记账登记!L164,客户信息维护!B:B,0)),IF(#REF!="支_供应商",INDEX(供应商信息维护!C:C,MATCH(银行日记账登记!L164,供应商信息维护!B:B,0)),""))</f>
        <v>#REF!</v>
      </c>
      <c r="N164" t="s">
        <v>356</v>
      </c>
    </row>
    <row r="165" spans="2:18" hidden="1" x14ac:dyDescent="0.25">
      <c r="B165" t="s">
        <v>55</v>
      </c>
      <c r="C165" t="s">
        <v>63</v>
      </c>
      <c r="I165">
        <v>1425.29</v>
      </c>
      <c r="J165" s="10">
        <v>45145</v>
      </c>
      <c r="K165" t="s">
        <v>100</v>
      </c>
      <c r="L165" s="1" t="s">
        <v>710</v>
      </c>
      <c r="M165" s="7" t="str">
        <f>IF(K165="收_客户",INDEX(客户信息维护!C:C,MATCH(银行日记账登记!L165,客户信息维护!B:B,0)),IF(K165="支_供应商",INDEX(供应商信息维护!C:C,MATCH(银行日记账登记!L165,供应商信息维护!B:B,0)),""))</f>
        <v>AMITOFORTUNA S.L</v>
      </c>
      <c r="N165" t="s">
        <v>712</v>
      </c>
      <c r="P165" t="s">
        <v>303</v>
      </c>
      <c r="Q165" t="s">
        <v>79</v>
      </c>
      <c r="R165" t="s">
        <v>720</v>
      </c>
    </row>
    <row r="166" spans="2:18" hidden="1" x14ac:dyDescent="0.25">
      <c r="B166" t="s">
        <v>55</v>
      </c>
      <c r="C166" t="s">
        <v>63</v>
      </c>
      <c r="I166">
        <v>812.43</v>
      </c>
      <c r="J166" s="10">
        <v>45145</v>
      </c>
      <c r="K166" t="s">
        <v>100</v>
      </c>
      <c r="L166" s="1" t="s">
        <v>713</v>
      </c>
      <c r="M166" s="7" t="str">
        <f>IF(K166="收_客户",INDEX(客户信息维护!C:C,MATCH(银行日记账登记!L166,客户信息维护!B:B,0)),IF(K166="支_供应商",INDEX(供应商信息维护!C:C,MATCH(银行日记账登记!L166,供应商信息维护!B:B,0)),""))</f>
        <v>MEGABAZAR ARROYO S.L</v>
      </c>
      <c r="N166" t="s">
        <v>715</v>
      </c>
      <c r="P166" t="s">
        <v>303</v>
      </c>
      <c r="Q166" t="s">
        <v>79</v>
      </c>
      <c r="R166" t="s">
        <v>721</v>
      </c>
    </row>
    <row r="167" spans="2:18" hidden="1" x14ac:dyDescent="0.25">
      <c r="B167" t="s">
        <v>55</v>
      </c>
      <c r="C167" t="s">
        <v>63</v>
      </c>
      <c r="I167">
        <v>469.95</v>
      </c>
      <c r="J167" s="10">
        <v>45145</v>
      </c>
      <c r="K167" t="s">
        <v>100</v>
      </c>
      <c r="L167" s="1" t="s">
        <v>716</v>
      </c>
      <c r="M167" s="7" t="str">
        <f>IF(K167="收_客户",INDEX(客户信息维护!C:C,MATCH(银行日记账登记!L167,客户信息维护!B:B,0)),IF(K167="支_供应商",INDEX(供应商信息维护!C:C,MATCH(银行日记账登记!L167,供应商信息维护!B:B,0)),""))</f>
        <v>MERCA ORIENTE SANT ANTONI S.L</v>
      </c>
      <c r="N167" t="s">
        <v>718</v>
      </c>
      <c r="Q167" t="s">
        <v>79</v>
      </c>
      <c r="R167" t="s">
        <v>722</v>
      </c>
    </row>
    <row r="168" spans="2:18" hidden="1" x14ac:dyDescent="0.25">
      <c r="B168" t="s">
        <v>55</v>
      </c>
      <c r="C168" t="s">
        <v>63</v>
      </c>
      <c r="I168">
        <v>549.80999999999995</v>
      </c>
      <c r="J168" s="10">
        <v>45146</v>
      </c>
      <c r="K168" t="s">
        <v>100</v>
      </c>
      <c r="L168" s="1" t="s">
        <v>723</v>
      </c>
      <c r="M168" s="7" t="str">
        <f>IF(K168="收_客户",INDEX(客户信息维护!C:C,MATCH(银行日记账登记!L168,客户信息维护!B:B,0)),IF(K168="支_供应商",INDEX(供应商信息维护!C:C,MATCH(银行日记账登记!L168,供应商信息维护!B:B,0)),""))</f>
        <v>XINQIANG ZHU</v>
      </c>
      <c r="N168" t="s">
        <v>725</v>
      </c>
      <c r="Q168" t="s">
        <v>79</v>
      </c>
      <c r="R168" t="s">
        <v>726</v>
      </c>
    </row>
    <row r="169" spans="2:18" hidden="1" x14ac:dyDescent="0.25">
      <c r="B169" t="s">
        <v>60</v>
      </c>
      <c r="C169" t="s">
        <v>66</v>
      </c>
      <c r="I169">
        <v>-7.99</v>
      </c>
      <c r="J169" s="10">
        <v>45145</v>
      </c>
      <c r="K169" t="s">
        <v>237</v>
      </c>
      <c r="M169" s="7" t="str">
        <f>IF(K169="收_客户",INDEX(客户信息维护!C:C,MATCH(银行日记账登记!L169,客户信息维护!B:B,0)),IF(K169="支_供应商",INDEX(供应商信息维护!C:C,MATCH(银行日记账登记!L169,供应商信息维护!B:B,0)),""))</f>
        <v/>
      </c>
      <c r="N169" t="s">
        <v>356</v>
      </c>
      <c r="P169" t="s">
        <v>599</v>
      </c>
    </row>
    <row r="170" spans="2:18" hidden="1" x14ac:dyDescent="0.25">
      <c r="B170" t="s">
        <v>60</v>
      </c>
      <c r="C170" t="s">
        <v>66</v>
      </c>
      <c r="I170">
        <v>-0.32</v>
      </c>
      <c r="J170" s="10">
        <v>45145</v>
      </c>
      <c r="K170" t="s">
        <v>237</v>
      </c>
      <c r="M170" s="7" t="str">
        <f>IF(K170="收_客户",INDEX(客户信息维护!C:C,MATCH(银行日记账登记!L170,客户信息维护!B:B,0)),IF(K170="支_供应商",INDEX(供应商信息维护!C:C,MATCH(银行日记账登记!L170,供应商信息维护!B:B,0)),""))</f>
        <v/>
      </c>
      <c r="N170" t="s">
        <v>356</v>
      </c>
      <c r="P170" t="s">
        <v>727</v>
      </c>
    </row>
    <row r="171" spans="2:18" hidden="1" x14ac:dyDescent="0.25">
      <c r="B171" t="s">
        <v>60</v>
      </c>
      <c r="C171" t="s">
        <v>66</v>
      </c>
      <c r="I171">
        <v>1686.6</v>
      </c>
      <c r="J171" s="10">
        <v>45145</v>
      </c>
      <c r="K171" t="s">
        <v>100</v>
      </c>
      <c r="L171" s="1" t="s">
        <v>728</v>
      </c>
      <c r="M171" s="7" t="str">
        <f>IF(K171="收_客户",INDEX(客户信息维护!C:C,MATCH(银行日记账登记!L171,客户信息维护!B:B,0)),IF(K171="支_供应商",INDEX(供应商信息维护!C:C,MATCH(银行日记账登记!L171,供应商信息维护!B:B,0)),""))</f>
        <v>LIU FANG UNIPESSOAL LDA 陈旭 刘芳</v>
      </c>
      <c r="N171" t="s">
        <v>731</v>
      </c>
      <c r="P171" t="s">
        <v>469</v>
      </c>
      <c r="Q171" t="s">
        <v>79</v>
      </c>
      <c r="R171" t="s">
        <v>733</v>
      </c>
    </row>
    <row r="172" spans="2:18" hidden="1" x14ac:dyDescent="0.25">
      <c r="B172" t="s">
        <v>60</v>
      </c>
      <c r="C172" t="s">
        <v>66</v>
      </c>
      <c r="I172">
        <v>3189.61</v>
      </c>
      <c r="J172" s="10">
        <v>45145</v>
      </c>
      <c r="K172" t="s">
        <v>100</v>
      </c>
      <c r="L172" s="1" t="s">
        <v>463</v>
      </c>
      <c r="M172" s="7" t="str">
        <f>IF(K172="收_客户",INDEX(客户信息维护!C:C,MATCH(银行日记账登记!L172,客户信息维护!B:B,0)),IF(K172="支_供应商",INDEX(供应商信息维护!C:C,MATCH(银行日记账登记!L172,供应商信息维护!B:B,0)),""))</f>
        <v>SUCCESSAGENDA LDA 郭正</v>
      </c>
      <c r="N172" t="s">
        <v>732</v>
      </c>
      <c r="Q172" t="s">
        <v>79</v>
      </c>
      <c r="R172" t="s">
        <v>734</v>
      </c>
    </row>
    <row r="173" spans="2:18" hidden="1" x14ac:dyDescent="0.25">
      <c r="B173" t="s">
        <v>55</v>
      </c>
      <c r="C173" t="s">
        <v>127</v>
      </c>
      <c r="I173">
        <v>546.48</v>
      </c>
      <c r="J173" s="10">
        <v>45146</v>
      </c>
      <c r="K173" t="s">
        <v>100</v>
      </c>
      <c r="L173" s="1" t="s">
        <v>735</v>
      </c>
      <c r="M173" s="7" t="str">
        <f>IF(K173="收_客户",INDEX(客户信息维护!C:C,MATCH(银行日记账登记!L173,客户信息维护!B:B,0)),IF(K173="支_供应商",INDEX(供应商信息维护!C:C,MATCH(银行日记账登记!L173,供应商信息维护!B:B,0)),""))</f>
        <v>YONGXIN XU</v>
      </c>
      <c r="N173" t="s">
        <v>737</v>
      </c>
      <c r="Q173" t="s">
        <v>79</v>
      </c>
      <c r="R173" t="s">
        <v>748</v>
      </c>
    </row>
    <row r="174" spans="2:18" hidden="1" x14ac:dyDescent="0.25">
      <c r="B174" t="s">
        <v>55</v>
      </c>
      <c r="C174" t="s">
        <v>127</v>
      </c>
      <c r="I174">
        <v>496.42</v>
      </c>
      <c r="J174" s="10">
        <v>45146</v>
      </c>
      <c r="K174" t="s">
        <v>100</v>
      </c>
      <c r="L174" s="1" t="s">
        <v>738</v>
      </c>
      <c r="M174" s="7" t="str">
        <f>IF(K174="收_客户",INDEX(客户信息维护!C:C,MATCH(银行日记账登记!L174,客户信息维护!B:B,0)),IF(K174="支_供应商",INDEX(供应商信息维护!C:C,MATCH(银行日记账登记!L174,供应商信息维护!B:B,0)),""))</f>
        <v>SUPERMERCADO FORTUNA 2016 S.L</v>
      </c>
      <c r="N174" t="s">
        <v>746</v>
      </c>
      <c r="Q174" t="s">
        <v>79</v>
      </c>
      <c r="R174" t="s">
        <v>749</v>
      </c>
    </row>
    <row r="175" spans="2:18" hidden="1" x14ac:dyDescent="0.25">
      <c r="B175" t="s">
        <v>55</v>
      </c>
      <c r="C175" t="s">
        <v>127</v>
      </c>
      <c r="I175">
        <v>918.18</v>
      </c>
      <c r="J175" s="10">
        <v>45146</v>
      </c>
      <c r="K175" t="s">
        <v>100</v>
      </c>
      <c r="L175" s="1" t="s">
        <v>740</v>
      </c>
      <c r="M175" s="7" t="str">
        <f>IF(K175="收_客户",INDEX(客户信息维护!C:C,MATCH(银行日记账登记!L175,客户信息维护!B:B,0)),IF(K175="支_供应商",INDEX(供应商信息维护!C:C,MATCH(银行日记账登记!L175,供应商信息维护!B:B,0)),""))</f>
        <v>NOU MAXI SARRIA DE TER S.L.</v>
      </c>
      <c r="N175" t="s">
        <v>747</v>
      </c>
      <c r="Q175" t="s">
        <v>79</v>
      </c>
      <c r="R175" t="s">
        <v>750</v>
      </c>
    </row>
    <row r="176" spans="2:18" hidden="1" x14ac:dyDescent="0.25">
      <c r="B176" t="s">
        <v>55</v>
      </c>
      <c r="C176" t="s">
        <v>127</v>
      </c>
      <c r="I176">
        <v>325.72000000000003</v>
      </c>
      <c r="J176" s="10">
        <v>45147</v>
      </c>
      <c r="K176" t="s">
        <v>100</v>
      </c>
      <c r="L176" s="1" t="s">
        <v>742</v>
      </c>
      <c r="M176" s="7" t="str">
        <f>IF(K176="收_客户",INDEX(客户信息维护!C:C,MATCH(银行日记账登记!L176,客户信息维护!B:B,0)),IF(K176="支_供应商",INDEX(供应商信息维护!C:C,MATCH(银行日记账登记!L176,供应商信息维护!B:B,0)),""))</f>
        <v>RACHIDA CHAABI</v>
      </c>
      <c r="N176" t="s">
        <v>744</v>
      </c>
      <c r="Q176" t="s">
        <v>79</v>
      </c>
      <c r="R176" t="s">
        <v>751</v>
      </c>
    </row>
    <row r="177" spans="2:18" hidden="1" x14ac:dyDescent="0.25">
      <c r="B177" t="s">
        <v>55</v>
      </c>
      <c r="C177" t="s">
        <v>127</v>
      </c>
      <c r="I177">
        <v>398.69</v>
      </c>
      <c r="J177" s="10">
        <v>45147</v>
      </c>
      <c r="K177" t="s">
        <v>100</v>
      </c>
      <c r="L177" s="1" t="s">
        <v>523</v>
      </c>
      <c r="M177" s="7" t="str">
        <f>IF(K177="收_客户",INDEX(客户信息维护!C:C,MATCH(银行日记账登记!L177,客户信息维护!B:B,0)),IF(K177="支_供应商",INDEX(供应商信息维护!C:C,MATCH(银行日记账登记!L177,供应商信息维护!B:B,0)),""))</f>
        <v>HUA TAI S.L</v>
      </c>
      <c r="N177" t="s">
        <v>745</v>
      </c>
      <c r="P177" t="s">
        <v>533</v>
      </c>
      <c r="Q177" t="s">
        <v>79</v>
      </c>
      <c r="R177" t="s">
        <v>752</v>
      </c>
    </row>
    <row r="178" spans="2:18" hidden="1" x14ac:dyDescent="0.25">
      <c r="B178" t="s">
        <v>60</v>
      </c>
      <c r="C178" t="s">
        <v>66</v>
      </c>
      <c r="I178">
        <v>834.9</v>
      </c>
      <c r="J178" s="10">
        <v>45146</v>
      </c>
      <c r="K178" t="s">
        <v>100</v>
      </c>
      <c r="L178" s="16" t="s">
        <v>753</v>
      </c>
      <c r="M178" s="7" t="str">
        <f>IF(K178="收_客户",INDEX(客户信息维护!C:C,MATCH(银行日记账登记!L178,客户信息维护!B:B,0)),IF(K178="支_供应商",INDEX(供应商信息维护!C:C,MATCH(银行日记账登记!L178,供应商信息维护!B:B,0)),""))</f>
        <v>MIAOMIAO ZHU</v>
      </c>
      <c r="N178" t="s">
        <v>755</v>
      </c>
      <c r="Q178" t="s">
        <v>79</v>
      </c>
      <c r="R178" t="s">
        <v>759</v>
      </c>
    </row>
    <row r="179" spans="2:18" hidden="1" x14ac:dyDescent="0.25">
      <c r="B179" t="s">
        <v>60</v>
      </c>
      <c r="C179" t="s">
        <v>66</v>
      </c>
      <c r="I179">
        <v>1660.9</v>
      </c>
      <c r="J179" s="10">
        <v>45147</v>
      </c>
      <c r="K179" t="s">
        <v>100</v>
      </c>
      <c r="L179" s="16" t="s">
        <v>756</v>
      </c>
      <c r="M179" s="7" t="str">
        <f>IF(K179="收_客户",INDEX(客户信息维护!C:C,MATCH(银行日记账登记!L179,客户信息维护!B:B,0)),IF(K179="支_供应商",INDEX(供应商信息维护!C:C,MATCH(银行日记账登记!L179,供应商信息维护!B:B,0)),""))</f>
        <v>DEEPSILENCE UNIP.  LDA 鹏飞</v>
      </c>
      <c r="N179" t="s">
        <v>758</v>
      </c>
      <c r="Q179" t="s">
        <v>79</v>
      </c>
      <c r="R179" t="s">
        <v>760</v>
      </c>
    </row>
    <row r="180" spans="2:18" hidden="1" x14ac:dyDescent="0.25">
      <c r="B180" t="s">
        <v>55</v>
      </c>
      <c r="C180" t="s">
        <v>63</v>
      </c>
      <c r="I180">
        <v>605.52</v>
      </c>
      <c r="J180" s="10">
        <v>45147</v>
      </c>
      <c r="K180" t="s">
        <v>100</v>
      </c>
      <c r="L180" s="16" t="s">
        <v>761</v>
      </c>
      <c r="M180" s="7" t="str">
        <f>IF(K180="收_客户",INDEX(客户信息维护!C:C,MATCH(银行日记账登记!L180,客户信息维护!B:B,0)),IF(K180="支_供应商",INDEX(供应商信息维护!C:C,MATCH(银行日记账登记!L180,供应商信息维护!B:B,0)),""))</f>
        <v>MARKET RUBI 2018 S.L</v>
      </c>
      <c r="N180" t="s">
        <v>763</v>
      </c>
      <c r="Q180" t="s">
        <v>79</v>
      </c>
      <c r="R180" t="s">
        <v>768</v>
      </c>
    </row>
    <row r="181" spans="2:18" hidden="1" x14ac:dyDescent="0.25">
      <c r="B181" t="s">
        <v>55</v>
      </c>
      <c r="C181" t="s">
        <v>63</v>
      </c>
      <c r="I181">
        <v>1376.86</v>
      </c>
      <c r="J181" s="10">
        <v>45147</v>
      </c>
      <c r="K181" t="s">
        <v>100</v>
      </c>
      <c r="L181" s="16" t="s">
        <v>764</v>
      </c>
      <c r="M181" s="7" t="str">
        <f>IF(K181="收_客户",INDEX(客户信息维护!C:C,MATCH(银行日记账登记!L181,客户信息维护!B:B,0)),IF(K181="支_供应商",INDEX(供应商信息维护!C:C,MATCH(银行日记账登记!L181,供应商信息维护!B:B,0)),""))</f>
        <v>HIPER ES XINES S.L</v>
      </c>
      <c r="N181" t="s">
        <v>766</v>
      </c>
      <c r="P181" t="s">
        <v>303</v>
      </c>
      <c r="Q181" t="s">
        <v>79</v>
      </c>
      <c r="R181" t="s">
        <v>769</v>
      </c>
    </row>
    <row r="182" spans="2:18" hidden="1" x14ac:dyDescent="0.25">
      <c r="B182" t="s">
        <v>55</v>
      </c>
      <c r="C182" t="s">
        <v>63</v>
      </c>
      <c r="I182">
        <v>1054.3499999999999</v>
      </c>
      <c r="J182" s="10">
        <v>45147</v>
      </c>
      <c r="K182" t="s">
        <v>100</v>
      </c>
      <c r="L182" s="1" t="s">
        <v>713</v>
      </c>
      <c r="M182" s="7" t="str">
        <f>IF(K182="收_客户",INDEX(客户信息维护!C:C,MATCH(银行日记账登记!L182,客户信息维护!B:B,0)),IF(K182="支_供应商",INDEX(供应商信息维护!C:C,MATCH(银行日记账登记!L182,供应商信息维护!B:B,0)),""))</f>
        <v>MEGABAZAR ARROYO S.L</v>
      </c>
      <c r="N182" t="s">
        <v>767</v>
      </c>
      <c r="P182" t="s">
        <v>303</v>
      </c>
      <c r="Q182" t="s">
        <v>79</v>
      </c>
      <c r="R182" t="s">
        <v>770</v>
      </c>
    </row>
    <row r="183" spans="2:18" hidden="1" x14ac:dyDescent="0.25">
      <c r="B183" t="s">
        <v>55</v>
      </c>
      <c r="C183" t="s">
        <v>63</v>
      </c>
      <c r="I183">
        <v>1763.28</v>
      </c>
      <c r="J183" s="10">
        <v>45148</v>
      </c>
      <c r="K183" t="s">
        <v>100</v>
      </c>
      <c r="L183" s="16" t="s">
        <v>771</v>
      </c>
      <c r="M183" s="7" t="str">
        <f>IF(K183="收_客户",INDEX(客户信息维护!C:C,MATCH(银行日记账登记!L183,客户信息维护!B:B,0)),IF(K183="支_供应商",INDEX(供应商信息维护!C:C,MATCH(银行日记账登记!L183,供应商信息维护!B:B,0)),""))</f>
        <v>XIA SEN</v>
      </c>
      <c r="N183" t="s">
        <v>773</v>
      </c>
      <c r="Q183" t="s">
        <v>79</v>
      </c>
      <c r="R183" t="s">
        <v>777</v>
      </c>
    </row>
    <row r="184" spans="2:18" hidden="1" x14ac:dyDescent="0.25">
      <c r="B184" t="s">
        <v>55</v>
      </c>
      <c r="C184" t="s">
        <v>63</v>
      </c>
      <c r="I184">
        <v>518.04</v>
      </c>
      <c r="J184" s="10">
        <v>45148</v>
      </c>
      <c r="K184" t="s">
        <v>100</v>
      </c>
      <c r="L184" s="1" t="s">
        <v>774</v>
      </c>
      <c r="M184" s="7" t="str">
        <f>IF(K184="收_客户",INDEX(客户信息维护!C:C,MATCH(银行日记账登记!L184,客户信息维护!B:B,0)),IF(K184="支_供应商",INDEX(供应商信息维护!C:C,MATCH(银行日记账登记!L184,供应商信息维护!B:B,0)),""))</f>
        <v>SISI LIU</v>
      </c>
      <c r="N184" t="s">
        <v>776</v>
      </c>
      <c r="Q184" t="s">
        <v>79</v>
      </c>
      <c r="R184" t="s">
        <v>778</v>
      </c>
    </row>
    <row r="185" spans="2:18" hidden="1" x14ac:dyDescent="0.25">
      <c r="B185" t="s">
        <v>60</v>
      </c>
      <c r="C185" t="s">
        <v>66</v>
      </c>
      <c r="I185">
        <v>2196.08</v>
      </c>
      <c r="J185" s="10">
        <v>45147</v>
      </c>
      <c r="K185" t="s">
        <v>100</v>
      </c>
      <c r="L185" s="16" t="s">
        <v>779</v>
      </c>
      <c r="M185" s="7" t="str">
        <f>IF(K185="收_客户",INDEX(客户信息维护!C:C,MATCH(银行日记账登记!L185,客户信息维护!B:B,0)),IF(K185="支_供应商",INDEX(供应商信息维护!C:C,MATCH(银行日记账登记!L185,供应商信息维护!B:B,0)),""))</f>
        <v>LIWEI JIANG</v>
      </c>
      <c r="N185" t="s">
        <v>781</v>
      </c>
      <c r="Q185" t="s">
        <v>79</v>
      </c>
      <c r="R185" t="s">
        <v>782</v>
      </c>
    </row>
    <row r="186" spans="2:18" hidden="1" x14ac:dyDescent="0.25">
      <c r="B186" t="s">
        <v>55</v>
      </c>
      <c r="C186" t="s">
        <v>127</v>
      </c>
      <c r="I186">
        <v>-9.56</v>
      </c>
      <c r="J186" s="10">
        <v>45147</v>
      </c>
      <c r="K186" t="s">
        <v>237</v>
      </c>
      <c r="L186" s="1" t="s">
        <v>787</v>
      </c>
      <c r="M186" s="7" t="str">
        <f>IF(K186="收_客户",INDEX(客户信息维护!C:C,MATCH(银行日记账登记!L186,客户信息维护!B:B,0)),IF(K186="支_供应商",INDEX(供应商信息维护!C:C,MATCH(银行日记账登记!L186,供应商信息维护!B:B,0)),""))</f>
        <v/>
      </c>
      <c r="N186" t="s">
        <v>789</v>
      </c>
    </row>
    <row r="187" spans="2:18" hidden="1" x14ac:dyDescent="0.25">
      <c r="B187" t="s">
        <v>55</v>
      </c>
      <c r="C187" t="s">
        <v>127</v>
      </c>
      <c r="I187">
        <v>598.20000000000005</v>
      </c>
      <c r="J187" s="10">
        <v>45148</v>
      </c>
      <c r="K187" t="s">
        <v>100</v>
      </c>
      <c r="L187" s="1" t="s">
        <v>783</v>
      </c>
      <c r="M187" s="7" t="str">
        <f>IF(K187="收_客户",INDEX(客户信息维护!C:C,MATCH(银行日记账登记!L187,客户信息维护!B:B,0)),IF(K187="支_供应商",INDEX(供应商信息维护!C:C,MATCH(银行日记账登记!L187,供应商信息维护!B:B,0)),""))</f>
        <v>ZHU HUANHAI</v>
      </c>
      <c r="N187" t="s">
        <v>785</v>
      </c>
      <c r="Q187" t="s">
        <v>79</v>
      </c>
      <c r="R187" t="s">
        <v>786</v>
      </c>
    </row>
    <row r="188" spans="2:18" hidden="1" x14ac:dyDescent="0.25">
      <c r="B188" t="s">
        <v>55</v>
      </c>
      <c r="C188" t="s">
        <v>127</v>
      </c>
      <c r="I188">
        <v>185.97</v>
      </c>
      <c r="J188" s="10">
        <v>45149</v>
      </c>
      <c r="K188" t="s">
        <v>100</v>
      </c>
      <c r="L188" s="1" t="s">
        <v>792</v>
      </c>
      <c r="M188" s="7" t="str">
        <f>IF(K188="收_客户",INDEX(客户信息维护!C:C,MATCH(银行日记账登记!L188,客户信息维护!B:B,0)),IF(K188="支_供应商",INDEX(供应商信息维护!C:C,MATCH(银行日记账登记!L188,供应商信息维护!B:B,0)),""))</f>
        <v>XIAOLIN XU</v>
      </c>
      <c r="N188" t="s">
        <v>794</v>
      </c>
      <c r="P188" t="s">
        <v>533</v>
      </c>
      <c r="Q188" t="s">
        <v>79</v>
      </c>
      <c r="R188" t="s">
        <v>799</v>
      </c>
    </row>
    <row r="189" spans="2:18" hidden="1" x14ac:dyDescent="0.25">
      <c r="B189" t="s">
        <v>55</v>
      </c>
      <c r="C189" t="s">
        <v>127</v>
      </c>
      <c r="I189">
        <v>918.96</v>
      </c>
      <c r="J189" s="10">
        <v>45149</v>
      </c>
      <c r="K189" t="s">
        <v>100</v>
      </c>
      <c r="L189" s="1" t="s">
        <v>275</v>
      </c>
      <c r="M189" s="7" t="str">
        <f>IF(K189="收_客户",INDEX(客户信息维护!C:C,MATCH(银行日记账登记!L189,客户信息维护!B:B,0)),IF(K189="支_供应商",INDEX(供应商信息维护!C:C,MATCH(银行日记账登记!L189,供应商信息维护!B:B,0)),""))</f>
        <v>TE ESPERAMOS S.L.</v>
      </c>
      <c r="N189" t="s">
        <v>795</v>
      </c>
      <c r="Q189" t="s">
        <v>79</v>
      </c>
      <c r="R189" t="s">
        <v>800</v>
      </c>
    </row>
    <row r="190" spans="2:18" hidden="1" x14ac:dyDescent="0.25">
      <c r="B190" t="s">
        <v>55</v>
      </c>
      <c r="C190" t="s">
        <v>127</v>
      </c>
      <c r="I190">
        <v>40000</v>
      </c>
      <c r="J190" s="10">
        <v>45149</v>
      </c>
      <c r="K190" t="s">
        <v>263</v>
      </c>
      <c r="M190" s="7" t="str">
        <f>IF(K190="收_客户",INDEX(客户信息维护!C:C,MATCH(银行日记账登记!L190,客户信息维护!B:B,0)),IF(K190="支_供应商",INDEX(供应商信息维护!C:C,MATCH(银行日记账登记!L190,供应商信息维护!B:B,0)),""))</f>
        <v/>
      </c>
      <c r="N190" t="s">
        <v>797</v>
      </c>
      <c r="P190" t="s">
        <v>796</v>
      </c>
    </row>
    <row r="191" spans="2:18" hidden="1" x14ac:dyDescent="0.25">
      <c r="B191" t="s">
        <v>55</v>
      </c>
      <c r="C191" t="s">
        <v>127</v>
      </c>
      <c r="I191">
        <v>-80</v>
      </c>
      <c r="J191" s="10">
        <v>45149</v>
      </c>
      <c r="K191" t="s">
        <v>237</v>
      </c>
      <c r="M191" s="7" t="str">
        <f>IF(K191="收_客户",INDEX(客户信息维护!C:C,MATCH(银行日记账登记!L191,客户信息维护!B:B,0)),IF(K191="支_供应商",INDEX(供应商信息维护!C:C,MATCH(银行日记账登记!L191,供应商信息维护!B:B,0)),""))</f>
        <v/>
      </c>
      <c r="N191" t="s">
        <v>356</v>
      </c>
      <c r="P191" t="s">
        <v>798</v>
      </c>
    </row>
    <row r="192" spans="2:18" hidden="1" x14ac:dyDescent="0.25">
      <c r="B192" t="s">
        <v>55</v>
      </c>
      <c r="C192" t="s">
        <v>63</v>
      </c>
      <c r="I192">
        <v>598.97</v>
      </c>
      <c r="J192" s="10">
        <v>45148</v>
      </c>
      <c r="K192" t="s">
        <v>100</v>
      </c>
      <c r="L192" s="16" t="s">
        <v>801</v>
      </c>
      <c r="M192" s="7" t="str">
        <f>IF(K192="收_客户",INDEX(客户信息维护!C:C,MATCH(银行日记账登记!L192,客户信息维护!B:B,0)),IF(K192="支_供应商",INDEX(供应商信息维护!C:C,MATCH(银行日记账登记!L192,供应商信息维护!B:B,0)),""))</f>
        <v>SENWEI WU</v>
      </c>
      <c r="N192" t="s">
        <v>803</v>
      </c>
      <c r="Q192" t="s">
        <v>79</v>
      </c>
      <c r="R192" t="s">
        <v>804</v>
      </c>
    </row>
    <row r="193" spans="2:18" hidden="1" x14ac:dyDescent="0.25">
      <c r="B193" t="s">
        <v>55</v>
      </c>
      <c r="C193" t="s">
        <v>63</v>
      </c>
      <c r="I193">
        <v>9062.91</v>
      </c>
      <c r="J193" s="10">
        <v>45149</v>
      </c>
      <c r="K193" t="s">
        <v>263</v>
      </c>
      <c r="M193" s="7" t="str">
        <f>IF(K193="收_客户",INDEX(客户信息维护!C:C,MATCH(银行日记账登记!L193,客户信息维护!B:B,0)),IF(K193="支_供应商",INDEX(供应商信息维护!C:C,MATCH(银行日记账登记!L193,供应商信息维护!B:B,0)),""))</f>
        <v/>
      </c>
      <c r="N193" t="s">
        <v>805</v>
      </c>
      <c r="P193" t="s">
        <v>456</v>
      </c>
    </row>
    <row r="194" spans="2:18" hidden="1" x14ac:dyDescent="0.25">
      <c r="B194" t="s">
        <v>55</v>
      </c>
      <c r="C194" t="s">
        <v>63</v>
      </c>
      <c r="I194">
        <v>3600</v>
      </c>
      <c r="J194" s="10">
        <v>45149</v>
      </c>
      <c r="K194" t="s">
        <v>100</v>
      </c>
      <c r="L194" s="1" t="s">
        <v>662</v>
      </c>
      <c r="M194" s="7" t="str">
        <f>IF(K194="收_客户",INDEX(客户信息维护!C:C,MATCH(银行日记账登记!L194,客户信息维护!B:B,0)),IF(K194="支_供应商",INDEX(供应商信息维护!C:C,MATCH(银行日记账登记!L194,供应商信息维护!B:B,0)),""))</f>
        <v>STOCK IN SPAIN ELECTRONICS S.L 步步高</v>
      </c>
      <c r="N194" t="s">
        <v>664</v>
      </c>
      <c r="P194" t="s">
        <v>303</v>
      </c>
      <c r="Q194" t="s">
        <v>79</v>
      </c>
      <c r="R194" t="s">
        <v>809</v>
      </c>
    </row>
    <row r="195" spans="2:18" hidden="1" x14ac:dyDescent="0.25">
      <c r="B195" t="s">
        <v>55</v>
      </c>
      <c r="C195" t="s">
        <v>63</v>
      </c>
      <c r="I195">
        <v>1479.43</v>
      </c>
      <c r="J195" s="10">
        <v>45149</v>
      </c>
      <c r="K195" t="s">
        <v>100</v>
      </c>
      <c r="L195" s="1" t="s">
        <v>806</v>
      </c>
      <c r="M195" s="7" t="str">
        <f>IF(K195="收_客户",INDEX(客户信息维护!C:C,MATCH(银行日记账登记!L195,客户信息维护!B:B,0)),IF(K195="支_供应商",INDEX(供应商信息维护!C:C,MATCH(银行日记账登记!L195,供应商信息维护!B:B,0)),""))</f>
        <v>COMERCIALIZACIONES DIAMANTE S.L</v>
      </c>
      <c r="N195" t="s">
        <v>808</v>
      </c>
      <c r="Q195" t="s">
        <v>79</v>
      </c>
      <c r="R195" t="s">
        <v>810</v>
      </c>
    </row>
    <row r="196" spans="2:18" hidden="1" x14ac:dyDescent="0.25">
      <c r="B196" t="s">
        <v>55</v>
      </c>
      <c r="C196" t="s">
        <v>127</v>
      </c>
      <c r="I196">
        <v>-18125.79</v>
      </c>
      <c r="J196" s="10">
        <v>45149</v>
      </c>
      <c r="K196" t="s">
        <v>237</v>
      </c>
      <c r="M196" s="7" t="str">
        <f>IF(K196="收_客户",INDEX(客户信息维护!C:C,MATCH(银行日记账登记!L196,客户信息维护!B:B,0)),IF(K196="支_供应商",INDEX(供应商信息维护!C:C,MATCH(银行日记账登记!L196,供应商信息维护!B:B,0)),""))</f>
        <v/>
      </c>
      <c r="N196" t="s">
        <v>814</v>
      </c>
      <c r="P196" t="s">
        <v>456</v>
      </c>
    </row>
    <row r="197" spans="2:18" hidden="1" x14ac:dyDescent="0.25">
      <c r="B197" t="s">
        <v>55</v>
      </c>
      <c r="C197" t="s">
        <v>127</v>
      </c>
      <c r="I197">
        <v>-18125.79</v>
      </c>
      <c r="J197" s="10">
        <v>45149</v>
      </c>
      <c r="K197" t="s">
        <v>237</v>
      </c>
      <c r="M197" s="7" t="str">
        <f>IF(K197="收_客户",INDEX(客户信息维护!C:C,MATCH(银行日记账登记!L197,客户信息维护!B:B,0)),IF(K197="支_供应商",INDEX(供应商信息维护!C:C,MATCH(银行日记账登记!L197,供应商信息维护!B:B,0)),""))</f>
        <v/>
      </c>
      <c r="N197" t="s">
        <v>814</v>
      </c>
      <c r="P197" t="s">
        <v>456</v>
      </c>
    </row>
    <row r="198" spans="2:18" hidden="1" x14ac:dyDescent="0.25">
      <c r="B198" t="s">
        <v>55</v>
      </c>
      <c r="C198" t="s">
        <v>127</v>
      </c>
      <c r="I198">
        <v>-1503.83</v>
      </c>
      <c r="J198" s="10">
        <v>45149</v>
      </c>
      <c r="K198" t="s">
        <v>237</v>
      </c>
      <c r="M198" s="7" t="str">
        <f>IF(K198="收_客户",INDEX(客户信息维护!C:C,MATCH(银行日记账登记!L198,客户信息维护!B:B,0)),IF(K198="支_供应商",INDEX(供应商信息维护!C:C,MATCH(银行日记账登记!L198,供应商信息维护!B:B,0)),""))</f>
        <v/>
      </c>
      <c r="N198" t="s">
        <v>815</v>
      </c>
      <c r="P198" t="s">
        <v>456</v>
      </c>
    </row>
    <row r="199" spans="2:18" hidden="1" x14ac:dyDescent="0.25">
      <c r="B199" t="s">
        <v>55</v>
      </c>
      <c r="C199" t="s">
        <v>127</v>
      </c>
      <c r="I199">
        <v>182.11</v>
      </c>
      <c r="J199" s="10">
        <v>45149</v>
      </c>
      <c r="K199" t="s">
        <v>100</v>
      </c>
      <c r="L199" s="1" t="s">
        <v>811</v>
      </c>
      <c r="M199" s="7" t="str">
        <f>IF(K199="收_客户",INDEX(客户信息维护!C:C,MATCH(银行日记账登记!L199,客户信息维护!B:B,0)),IF(K199="支_供应商",INDEX(供应商信息维护!C:C,MATCH(银行日记账登记!L199,供应商信息维护!B:B,0)),""))</f>
        <v>SHOUJU HU Y SHANYU WANG</v>
      </c>
      <c r="N199" t="s">
        <v>813</v>
      </c>
      <c r="Q199" t="s">
        <v>79</v>
      </c>
      <c r="R199" t="s">
        <v>816</v>
      </c>
    </row>
    <row r="200" spans="2:18" hidden="1" x14ac:dyDescent="0.25">
      <c r="B200" t="s">
        <v>55</v>
      </c>
      <c r="C200" t="s">
        <v>63</v>
      </c>
      <c r="I200">
        <v>1201.24</v>
      </c>
      <c r="J200" s="10">
        <v>45149</v>
      </c>
      <c r="K200" t="s">
        <v>100</v>
      </c>
      <c r="L200" s="16" t="s">
        <v>817</v>
      </c>
      <c r="M200" s="7" t="str">
        <f>IF(K200="收_客户",INDEX(客户信息维护!C:C,MATCH(银行日记账登记!L200,客户信息维护!B:B,0)),IF(K200="支_供应商",INDEX(供应商信息维护!C:C,MATCH(银行日记账登记!L200,供应商信息维护!B:B,0)),""))</f>
        <v>LUOJUN WANG</v>
      </c>
      <c r="N200" t="s">
        <v>819</v>
      </c>
      <c r="Q200" t="s">
        <v>79</v>
      </c>
      <c r="R200" t="s">
        <v>820</v>
      </c>
    </row>
    <row r="201" spans="2:18" hidden="1" x14ac:dyDescent="0.25">
      <c r="B201" t="s">
        <v>55</v>
      </c>
      <c r="C201" t="s">
        <v>127</v>
      </c>
      <c r="I201">
        <v>-10701.18</v>
      </c>
      <c r="J201" s="10">
        <v>45152</v>
      </c>
      <c r="K201" t="s">
        <v>237</v>
      </c>
      <c r="M201" s="7" t="str">
        <f>IF(K201="收_客户",INDEX(客户信息维护!C:C,MATCH(银行日记账登记!L201,客户信息维护!B:B,0)),IF(K201="支_供应商",INDEX(供应商信息维护!C:C,MATCH(银行日记账登记!L201,供应商信息维护!B:B,0)),""))</f>
        <v/>
      </c>
      <c r="N201" t="s">
        <v>822</v>
      </c>
      <c r="P201" t="s">
        <v>821</v>
      </c>
    </row>
    <row r="202" spans="2:18" hidden="1" x14ac:dyDescent="0.25">
      <c r="B202" t="s">
        <v>55</v>
      </c>
      <c r="C202" t="s">
        <v>63</v>
      </c>
      <c r="I202">
        <v>5000</v>
      </c>
      <c r="J202" s="10">
        <v>45152</v>
      </c>
      <c r="K202" t="s">
        <v>100</v>
      </c>
      <c r="L202" s="1" t="s">
        <v>159</v>
      </c>
      <c r="M202" s="7" t="str">
        <f>IF(K202="收_客户",INDEX(客户信息维护!C:C,MATCH(银行日记账登记!L202,客户信息维护!B:B,0)),IF(K202="支_供应商",INDEX(供应商信息维护!C:C,MATCH(银行日记账登记!L202,供应商信息维护!B:B,0)),""))</f>
        <v>WE PHONE 2016 S.L 威锋电子</v>
      </c>
      <c r="N202" t="s">
        <v>823</v>
      </c>
      <c r="P202" t="s">
        <v>824</v>
      </c>
      <c r="Q202" t="s">
        <v>79</v>
      </c>
      <c r="R202" t="s">
        <v>830</v>
      </c>
    </row>
    <row r="203" spans="2:18" hidden="1" x14ac:dyDescent="0.25">
      <c r="B203" t="s">
        <v>55</v>
      </c>
      <c r="C203" t="s">
        <v>63</v>
      </c>
      <c r="I203">
        <v>1299.24</v>
      </c>
      <c r="J203" s="10">
        <v>45152</v>
      </c>
      <c r="K203" t="s">
        <v>825</v>
      </c>
      <c r="M203" s="7" t="str">
        <f>IF(K203="收_客户",INDEX(客户信息维护!C:C,MATCH(银行日记账登记!L203,客户信息维护!B:B,0)),IF(K203="支_供应商",INDEX(供应商信息维护!C:C,MATCH(银行日记账登记!L203,供应商信息维护!B:B,0)),""))</f>
        <v/>
      </c>
      <c r="N203" t="s">
        <v>827</v>
      </c>
      <c r="P203" t="s">
        <v>828</v>
      </c>
    </row>
    <row r="204" spans="2:18" hidden="1" x14ac:dyDescent="0.25">
      <c r="B204" t="s">
        <v>55</v>
      </c>
      <c r="C204" t="s">
        <v>63</v>
      </c>
      <c r="I204">
        <v>1400</v>
      </c>
      <c r="J204" s="10">
        <v>45152</v>
      </c>
      <c r="K204" t="s">
        <v>100</v>
      </c>
      <c r="L204" s="1" t="s">
        <v>710</v>
      </c>
      <c r="M204" s="7" t="str">
        <f>IF(K204="收_客户",INDEX(客户信息维护!C:C,MATCH(银行日记账登记!L204,客户信息维护!B:B,0)),IF(K204="支_供应商",INDEX(供应商信息维护!C:C,MATCH(银行日记账登记!L204,供应商信息维护!B:B,0)),""))</f>
        <v>AMITOFORTUNA S.L</v>
      </c>
      <c r="N204" t="s">
        <v>829</v>
      </c>
      <c r="P204" t="s">
        <v>303</v>
      </c>
      <c r="Q204" t="s">
        <v>79</v>
      </c>
      <c r="R204" t="s">
        <v>831</v>
      </c>
    </row>
    <row r="205" spans="2:18" hidden="1" x14ac:dyDescent="0.25">
      <c r="B205" t="s">
        <v>55</v>
      </c>
      <c r="C205" t="s">
        <v>63</v>
      </c>
      <c r="I205">
        <v>-3772.41</v>
      </c>
      <c r="J205" s="10">
        <v>45152</v>
      </c>
      <c r="K205" t="s">
        <v>237</v>
      </c>
      <c r="M205" s="7" t="str">
        <f>IF(K205="收_客户",INDEX(客户信息维护!C:C,MATCH(银行日记账登记!L205,客户信息维护!B:B,0)),IF(K205="支_供应商",INDEX(供应商信息维护!C:C,MATCH(银行日记账登记!L205,供应商信息维护!B:B,0)),""))</f>
        <v/>
      </c>
      <c r="N205" t="s">
        <v>833</v>
      </c>
      <c r="P205" t="s">
        <v>832</v>
      </c>
    </row>
    <row r="206" spans="2:18" hidden="1" x14ac:dyDescent="0.25">
      <c r="B206" t="s">
        <v>55</v>
      </c>
      <c r="C206" t="s">
        <v>63</v>
      </c>
      <c r="I206">
        <v>-53.33</v>
      </c>
      <c r="J206" s="10">
        <v>45152</v>
      </c>
      <c r="K206" t="s">
        <v>237</v>
      </c>
      <c r="M206" s="7" t="str">
        <f>IF(K206="收_客户",INDEX(客户信息维护!C:C,MATCH(银行日记账登记!L206,客户信息维护!B:B,0)),IF(K206="支_供应商",INDEX(供应商信息维护!C:C,MATCH(银行日记账登记!L206,供应商信息维护!B:B,0)),""))</f>
        <v/>
      </c>
      <c r="N206" t="s">
        <v>835</v>
      </c>
      <c r="P206" t="s">
        <v>834</v>
      </c>
    </row>
    <row r="207" spans="2:18" hidden="1" x14ac:dyDescent="0.25">
      <c r="B207" t="s">
        <v>55</v>
      </c>
      <c r="C207" t="s">
        <v>63</v>
      </c>
      <c r="I207">
        <v>2816.4</v>
      </c>
      <c r="J207" s="10">
        <v>45152</v>
      </c>
      <c r="K207" t="s">
        <v>100</v>
      </c>
      <c r="L207" s="1" t="s">
        <v>635</v>
      </c>
      <c r="M207" s="7" t="str">
        <f>IF(K207="收_客户",INDEX(客户信息维护!C:C,MATCH(银行日记账登记!L207,客户信息维护!B:B,0)),IF(K207="支_供应商",INDEX(供应商信息维护!C:C,MATCH(银行日记账登记!L207,供应商信息维护!B:B,0)),""))</f>
        <v>LITXU MEGAPARK S.L.</v>
      </c>
      <c r="N207" t="s">
        <v>836</v>
      </c>
      <c r="Q207" t="s">
        <v>79</v>
      </c>
      <c r="R207" t="s">
        <v>837</v>
      </c>
    </row>
    <row r="208" spans="2:18" hidden="1" x14ac:dyDescent="0.25">
      <c r="B208" t="s">
        <v>60</v>
      </c>
      <c r="C208" t="s">
        <v>66</v>
      </c>
      <c r="I208">
        <v>2001.47</v>
      </c>
      <c r="J208" s="10">
        <v>45152</v>
      </c>
      <c r="K208" t="s">
        <v>100</v>
      </c>
      <c r="L208" s="16" t="s">
        <v>838</v>
      </c>
      <c r="M208" s="7" t="str">
        <f>IF(K208="收_客户",INDEX(客户信息维护!C:C,MATCH(银行日记账登记!L208,客户信息维护!B:B,0)),IF(K208="支_供应商",INDEX(供应商信息维护!C:C,MATCH(银行日记账登记!L208,供应商信息维护!B:B,0)),""))</f>
        <v>SUQUAN XU 徐苏权</v>
      </c>
      <c r="N208" t="s">
        <v>840</v>
      </c>
      <c r="Q208" t="s">
        <v>79</v>
      </c>
      <c r="R208" t="s">
        <v>841</v>
      </c>
    </row>
    <row r="209" spans="2:18" hidden="1" x14ac:dyDescent="0.25">
      <c r="B209" t="s">
        <v>55</v>
      </c>
      <c r="C209" t="s">
        <v>127</v>
      </c>
      <c r="I209">
        <v>1017</v>
      </c>
      <c r="J209" s="10">
        <v>45152</v>
      </c>
      <c r="K209" t="s">
        <v>100</v>
      </c>
      <c r="L209" s="1" t="s">
        <v>842</v>
      </c>
      <c r="M209" s="7" t="str">
        <f>IF(K209="收_客户",INDEX(客户信息维护!C:C,MATCH(银行日记账登记!L209,客户信息维护!B:B,0)),IF(K209="支_供应商",INDEX(供应商信息维护!C:C,MATCH(银行日记账登记!L209,供应商信息维护!B:B,0)),""))</f>
        <v>MIAOQUN WU</v>
      </c>
      <c r="N209" t="s">
        <v>844</v>
      </c>
      <c r="Q209" t="s">
        <v>79</v>
      </c>
      <c r="R209" t="s">
        <v>853</v>
      </c>
    </row>
    <row r="210" spans="2:18" hidden="1" x14ac:dyDescent="0.25">
      <c r="B210" t="s">
        <v>55</v>
      </c>
      <c r="C210" t="s">
        <v>127</v>
      </c>
      <c r="I210">
        <v>646.5</v>
      </c>
      <c r="J210" s="10">
        <v>45153</v>
      </c>
      <c r="K210" t="s">
        <v>100</v>
      </c>
      <c r="L210" s="1" t="s">
        <v>845</v>
      </c>
      <c r="M210" s="7" t="str">
        <f>IF(K210="收_客户",INDEX(客户信息维护!C:C,MATCH(银行日记账登记!L210,客户信息维护!B:B,0)),IF(K210="支_供应商",INDEX(供应商信息维护!C:C,MATCH(银行日记账登记!L210,供应商信息维护!B:B,0)),""))</f>
        <v>HAINAN XU</v>
      </c>
      <c r="N210" t="s">
        <v>847</v>
      </c>
      <c r="P210" t="s">
        <v>533</v>
      </c>
      <c r="Q210" t="s">
        <v>79</v>
      </c>
      <c r="R210" t="s">
        <v>854</v>
      </c>
    </row>
    <row r="211" spans="2:18" hidden="1" x14ac:dyDescent="0.25">
      <c r="B211" t="s">
        <v>55</v>
      </c>
      <c r="C211" t="s">
        <v>127</v>
      </c>
      <c r="I211">
        <v>-445.28</v>
      </c>
      <c r="J211" s="10">
        <v>45153</v>
      </c>
      <c r="K211" t="s">
        <v>237</v>
      </c>
      <c r="M211" s="7" t="str">
        <f>IF(K211="收_客户",INDEX(客户信息维护!C:C,MATCH(银行日记账登记!L211,客户信息维护!B:B,0)),IF(K211="支_供应商",INDEX(供应商信息维护!C:C,MATCH(银行日记账登记!L211,供应商信息维护!B:B,0)),""))</f>
        <v/>
      </c>
      <c r="N211" t="s">
        <v>848</v>
      </c>
      <c r="P211" t="s">
        <v>849</v>
      </c>
    </row>
    <row r="212" spans="2:18" hidden="1" x14ac:dyDescent="0.25">
      <c r="B212" t="s">
        <v>55</v>
      </c>
      <c r="C212" t="s">
        <v>127</v>
      </c>
      <c r="I212">
        <v>908.91</v>
      </c>
      <c r="J212" s="10">
        <v>45154</v>
      </c>
      <c r="K212" t="s">
        <v>100</v>
      </c>
      <c r="L212" s="1" t="s">
        <v>850</v>
      </c>
      <c r="M212" s="7" t="str">
        <f>IF(K212="收_客户",INDEX(客户信息维护!C:C,MATCH(银行日记账登记!L212,客户信息维护!B:B,0)),IF(K212="支_供应商",INDEX(供应商信息维护!C:C,MATCH(银行日记账登记!L212,供应商信息维护!B:B,0)),""))</f>
        <v>JE TAMOUR S.L</v>
      </c>
      <c r="N212" t="s">
        <v>852</v>
      </c>
      <c r="Q212" t="s">
        <v>79</v>
      </c>
      <c r="R212" t="s">
        <v>855</v>
      </c>
    </row>
    <row r="213" spans="2:18" hidden="1" x14ac:dyDescent="0.25">
      <c r="B213" t="s">
        <v>55</v>
      </c>
      <c r="C213" t="s">
        <v>63</v>
      </c>
      <c r="I213">
        <v>665.7</v>
      </c>
      <c r="J213" s="10">
        <v>45152</v>
      </c>
      <c r="K213" t="s">
        <v>100</v>
      </c>
      <c r="L213" s="1" t="s">
        <v>856</v>
      </c>
      <c r="M213" s="7" t="str">
        <f>IF(K213="收_客户",INDEX(客户信息维护!C:C,MATCH(银行日记账登记!L213,客户信息维护!B:B,0)),IF(K213="支_供应商",INDEX(供应商信息维护!C:C,MATCH(银行日记账登记!L213,供应商信息维护!B:B,0)),""))</f>
        <v>MANBAR DECORA S.L</v>
      </c>
      <c r="N213" t="s">
        <v>858</v>
      </c>
      <c r="Q213" t="s">
        <v>79</v>
      </c>
      <c r="R213" t="s">
        <v>865</v>
      </c>
    </row>
    <row r="214" spans="2:18" hidden="1" x14ac:dyDescent="0.25">
      <c r="B214" t="s">
        <v>55</v>
      </c>
      <c r="C214" t="s">
        <v>63</v>
      </c>
      <c r="I214">
        <v>559.21</v>
      </c>
      <c r="J214" s="10">
        <v>45154</v>
      </c>
      <c r="K214" t="s">
        <v>100</v>
      </c>
      <c r="L214" s="1" t="s">
        <v>859</v>
      </c>
      <c r="M214" s="7" t="str">
        <f>IF(K214="收_客户",INDEX(客户信息维护!C:C,MATCH(银行日记账登记!L214,客户信息维护!B:B,0)),IF(K214="支_供应商",INDEX(供应商信息维护!C:C,MATCH(银行日记账登记!L214,供应商信息维护!B:B,0)),""))</f>
        <v>JIANZHONG YING</v>
      </c>
      <c r="N214" t="s">
        <v>861</v>
      </c>
      <c r="Q214" t="s">
        <v>79</v>
      </c>
      <c r="R214" t="s">
        <v>866</v>
      </c>
    </row>
    <row r="215" spans="2:18" hidden="1" x14ac:dyDescent="0.25">
      <c r="B215" t="s">
        <v>55</v>
      </c>
      <c r="C215" t="s">
        <v>63</v>
      </c>
      <c r="I215">
        <v>2085.4699999999998</v>
      </c>
      <c r="J215" s="10">
        <v>45154</v>
      </c>
      <c r="K215" t="s">
        <v>100</v>
      </c>
      <c r="L215" s="1" t="s">
        <v>862</v>
      </c>
      <c r="M215" s="7" t="str">
        <f>IF(K215="收_客户",INDEX(客户信息维护!C:C,MATCH(银行日记账登记!L215,客户信息维护!B:B,0)),IF(K215="支_供应商",INDEX(供应商信息维护!C:C,MATCH(银行日记账登记!L215,供应商信息维护!B:B,0)),""))</f>
        <v>CHAOQUN DU</v>
      </c>
      <c r="N215" t="s">
        <v>864</v>
      </c>
      <c r="Q215" t="s">
        <v>79</v>
      </c>
      <c r="R215" t="s">
        <v>867</v>
      </c>
    </row>
    <row r="216" spans="2:18" hidden="1" x14ac:dyDescent="0.25">
      <c r="B216" t="s">
        <v>55</v>
      </c>
      <c r="C216" t="s">
        <v>127</v>
      </c>
      <c r="I216">
        <v>194.36</v>
      </c>
      <c r="J216" s="10">
        <v>45154</v>
      </c>
      <c r="K216" t="s">
        <v>100</v>
      </c>
      <c r="L216" s="16" t="s">
        <v>868</v>
      </c>
      <c r="M216" s="7" t="str">
        <f>IF(K216="收_客户",INDEX(客户信息维护!C:C,MATCH(银行日记账登记!L216,客户信息维护!B:B,0)),IF(K216="支_供应商",INDEX(供应商信息维护!C:C,MATCH(银行日记账登记!L216,供应商信息维护!B:B,0)),""))</f>
        <v>CHANG ZONG LI</v>
      </c>
      <c r="N216" t="s">
        <v>870</v>
      </c>
      <c r="Q216" t="s">
        <v>79</v>
      </c>
      <c r="R216" t="s">
        <v>876</v>
      </c>
    </row>
    <row r="217" spans="2:18" hidden="1" x14ac:dyDescent="0.25">
      <c r="B217" t="s">
        <v>55</v>
      </c>
      <c r="C217" t="s">
        <v>127</v>
      </c>
      <c r="I217">
        <v>979.7</v>
      </c>
      <c r="J217" s="10">
        <v>45155</v>
      </c>
      <c r="K217" t="s">
        <v>100</v>
      </c>
      <c r="L217" s="1" t="s">
        <v>871</v>
      </c>
      <c r="M217" s="7" t="str">
        <f>IF(K217="收_客户",INDEX(客户信息维护!C:C,MATCH(银行日记账登记!L217,客户信息维护!B:B,0)),IF(K217="支_供应商",INDEX(供应商信息维护!C:C,MATCH(银行日记账登记!L217,供应商信息维护!B:B,0)),""))</f>
        <v>QIANWAN S.L</v>
      </c>
      <c r="N217" t="s">
        <v>873</v>
      </c>
      <c r="Q217" t="s">
        <v>79</v>
      </c>
      <c r="R217" t="s">
        <v>877</v>
      </c>
    </row>
    <row r="218" spans="2:18" hidden="1" x14ac:dyDescent="0.25">
      <c r="B218" t="s">
        <v>55</v>
      </c>
      <c r="C218" t="s">
        <v>127</v>
      </c>
      <c r="I218">
        <v>11000</v>
      </c>
      <c r="J218" s="10">
        <v>45155</v>
      </c>
      <c r="K218" t="s">
        <v>263</v>
      </c>
      <c r="M218" s="7" t="str">
        <f>IF(K218="收_客户",INDEX(客户信息维护!C:C,MATCH(银行日记账登记!L218,客户信息维护!B:B,0)),IF(K218="支_供应商",INDEX(供应商信息维护!C:C,MATCH(银行日记账登记!L218,供应商信息维护!B:B,0)),""))</f>
        <v/>
      </c>
      <c r="N218" t="s">
        <v>874</v>
      </c>
      <c r="P218" t="s">
        <v>875</v>
      </c>
    </row>
    <row r="219" spans="2:18" hidden="1" x14ac:dyDescent="0.25">
      <c r="B219" t="s">
        <v>55</v>
      </c>
      <c r="C219" t="s">
        <v>63</v>
      </c>
      <c r="I219">
        <v>1330</v>
      </c>
      <c r="J219" s="10">
        <v>45154</v>
      </c>
      <c r="K219" t="s">
        <v>100</v>
      </c>
      <c r="L219" s="1" t="s">
        <v>304</v>
      </c>
      <c r="M219" s="7" t="str">
        <f>IF(K219="收_客户",INDEX(客户信息维护!C:C,MATCH(银行日记账登记!L219,客户信息维护!B:B,0)),IF(K219="支_供应商",INDEX(供应商信息维护!C:C,MATCH(银行日记账登记!L219,供应商信息维护!B:B,0)),""))</f>
        <v>EL AZRAK MERJANI HAMZA</v>
      </c>
      <c r="N219" t="s">
        <v>878</v>
      </c>
      <c r="P219" t="s">
        <v>303</v>
      </c>
      <c r="Q219" t="s">
        <v>79</v>
      </c>
      <c r="R219" t="s">
        <v>895</v>
      </c>
    </row>
    <row r="220" spans="2:18" hidden="1" x14ac:dyDescent="0.25">
      <c r="B220" t="s">
        <v>55</v>
      </c>
      <c r="C220" t="s">
        <v>63</v>
      </c>
      <c r="I220">
        <v>4040</v>
      </c>
      <c r="J220" s="10">
        <v>45154</v>
      </c>
      <c r="K220" t="s">
        <v>100</v>
      </c>
      <c r="L220" s="16" t="s">
        <v>879</v>
      </c>
      <c r="M220" s="7" t="str">
        <f>IF(K220="收_客户",INDEX(客户信息维护!C:C,MATCH(银行日记账登记!L220,客户信息维护!B:B,0)),IF(K220="支_供应商",INDEX(供应商信息维护!C:C,MATCH(银行日记账登记!L220,供应商信息维护!B:B,0)),""))</f>
        <v>STOCKAGO ECOM,S.L</v>
      </c>
      <c r="N220" t="s">
        <v>881</v>
      </c>
      <c r="P220" t="s">
        <v>882</v>
      </c>
      <c r="Q220" t="s">
        <v>79</v>
      </c>
      <c r="R220" t="s">
        <v>896</v>
      </c>
    </row>
    <row r="221" spans="2:18" hidden="1" x14ac:dyDescent="0.25">
      <c r="B221" t="s">
        <v>55</v>
      </c>
      <c r="C221" t="s">
        <v>63</v>
      </c>
      <c r="I221">
        <v>684.17</v>
      </c>
      <c r="J221" s="10">
        <v>45154</v>
      </c>
      <c r="K221" t="s">
        <v>100</v>
      </c>
      <c r="L221" s="1" t="s">
        <v>883</v>
      </c>
      <c r="M221" s="7" t="str">
        <f>IF(K221="收_客户",INDEX(客户信息维护!C:C,MATCH(银行日记账登记!L221,客户信息维护!B:B,0)),IF(K221="支_供应商",INDEX(供应商信息维护!C:C,MATCH(银行日记账登记!L221,供应商信息维护!B:B,0)),""))</f>
        <v>HIPER CAN VALERO S.L</v>
      </c>
      <c r="N221" t="s">
        <v>885</v>
      </c>
      <c r="P221" t="s">
        <v>303</v>
      </c>
      <c r="Q221" t="s">
        <v>79</v>
      </c>
      <c r="R221" t="s">
        <v>897</v>
      </c>
    </row>
    <row r="222" spans="2:18" hidden="1" x14ac:dyDescent="0.25">
      <c r="B222" t="s">
        <v>55</v>
      </c>
      <c r="C222" t="s">
        <v>63</v>
      </c>
      <c r="I222">
        <v>-2295.7199999999998</v>
      </c>
      <c r="J222" s="10">
        <v>45154</v>
      </c>
      <c r="K222" t="s">
        <v>237</v>
      </c>
      <c r="M222" s="7" t="str">
        <f>IF(K222="收_客户",INDEX(客户信息维护!C:C,MATCH(银行日记账登记!L222,客户信息维护!B:B,0)),IF(K222="支_供应商",INDEX(供应商信息维护!C:C,MATCH(银行日记账登记!L222,供应商信息维护!B:B,0)),""))</f>
        <v/>
      </c>
      <c r="N222" t="s">
        <v>886</v>
      </c>
      <c r="P222" t="s">
        <v>887</v>
      </c>
    </row>
    <row r="223" spans="2:18" hidden="1" x14ac:dyDescent="0.25">
      <c r="B223" t="s">
        <v>55</v>
      </c>
      <c r="C223" t="s">
        <v>63</v>
      </c>
      <c r="I223">
        <v>844.31</v>
      </c>
      <c r="J223" s="10">
        <v>45155</v>
      </c>
      <c r="K223" t="s">
        <v>100</v>
      </c>
      <c r="L223" s="1" t="s">
        <v>888</v>
      </c>
      <c r="M223" s="7" t="str">
        <f>IF(K223="收_客户",INDEX(客户信息维护!C:C,MATCH(银行日记账登记!L223,客户信息维护!B:B,0)),IF(K223="支_供应商",INDEX(供应商信息维护!C:C,MATCH(银行日记账登记!L223,供应商信息维护!B:B,0)),""))</f>
        <v>HIPER HOGAR POPULAR S.L</v>
      </c>
      <c r="N223" t="s">
        <v>890</v>
      </c>
      <c r="P223" t="s">
        <v>303</v>
      </c>
      <c r="Q223" t="s">
        <v>79</v>
      </c>
      <c r="R223" t="s">
        <v>898</v>
      </c>
    </row>
    <row r="224" spans="2:18" hidden="1" x14ac:dyDescent="0.25">
      <c r="B224" t="s">
        <v>55</v>
      </c>
      <c r="C224" t="s">
        <v>63</v>
      </c>
      <c r="I224">
        <v>2076.5300000000002</v>
      </c>
      <c r="J224" s="10">
        <v>45155</v>
      </c>
      <c r="K224" t="s">
        <v>100</v>
      </c>
      <c r="L224" s="1" t="s">
        <v>891</v>
      </c>
      <c r="M224" s="7" t="str">
        <f>IF(K224="收_客户",INDEX(客户信息维护!C:C,MATCH(银行日记账登记!L224,客户信息维护!B:B,0)),IF(K224="支_供应商",INDEX(供应商信息维护!C:C,MATCH(银行日记账登记!L224,供应商信息维护!B:B,0)),""))</f>
        <v>ESON IMPORT EXPORT S.L 百货城</v>
      </c>
      <c r="N224" t="s">
        <v>893</v>
      </c>
      <c r="P224" t="s">
        <v>894</v>
      </c>
      <c r="Q224" t="s">
        <v>79</v>
      </c>
      <c r="R224" t="s">
        <v>899</v>
      </c>
    </row>
    <row r="225" spans="2:18" hidden="1" x14ac:dyDescent="0.25">
      <c r="B225" t="s">
        <v>60</v>
      </c>
      <c r="C225" t="s">
        <v>66</v>
      </c>
      <c r="I225">
        <v>-11.5</v>
      </c>
      <c r="J225" s="10">
        <v>45154</v>
      </c>
      <c r="K225" t="s">
        <v>237</v>
      </c>
      <c r="L225" s="1" t="s">
        <v>900</v>
      </c>
      <c r="M225" s="7" t="str">
        <f>IF(K225="收_客户",INDEX(客户信息维护!C:C,MATCH(银行日记账登记!L225,客户信息维护!B:B,0)),IF(K225="支_供应商",INDEX(供应商信息维护!C:C,MATCH(银行日记账登记!L225,供应商信息维护!B:B,0)),""))</f>
        <v/>
      </c>
      <c r="N225" t="s">
        <v>901</v>
      </c>
      <c r="P225" t="s">
        <v>902</v>
      </c>
    </row>
    <row r="226" spans="2:18" hidden="1" x14ac:dyDescent="0.25">
      <c r="B226" t="s">
        <v>60</v>
      </c>
      <c r="C226" t="s">
        <v>66</v>
      </c>
      <c r="I226">
        <v>-836.31</v>
      </c>
      <c r="J226" s="10">
        <v>45154</v>
      </c>
      <c r="K226" t="s">
        <v>237</v>
      </c>
      <c r="M226" s="7" t="str">
        <f>IF(K226="收_客户",INDEX(客户信息维护!C:C,MATCH(银行日记账登记!L226,客户信息维护!B:B,0)),IF(K226="支_供应商",INDEX(供应商信息维护!C:C,MATCH(银行日记账登记!L226,供应商信息维护!B:B,0)),""))</f>
        <v/>
      </c>
      <c r="N226" t="s">
        <v>356</v>
      </c>
      <c r="P226" t="s">
        <v>903</v>
      </c>
    </row>
    <row r="227" spans="2:18" hidden="1" x14ac:dyDescent="0.25">
      <c r="B227" t="s">
        <v>60</v>
      </c>
      <c r="C227" t="s">
        <v>66</v>
      </c>
      <c r="I227">
        <v>-37.299999999999997</v>
      </c>
      <c r="J227" s="10">
        <v>45155</v>
      </c>
      <c r="K227" t="s">
        <v>237</v>
      </c>
      <c r="M227" s="7" t="str">
        <f>IF(K227="收_客户",INDEX(客户信息维护!C:C,MATCH(银行日记账登记!L227,客户信息维护!B:B,0)),IF(K227="支_供应商",INDEX(供应商信息维护!C:C,MATCH(银行日记账登记!L227,供应商信息维护!B:B,0)),""))</f>
        <v/>
      </c>
      <c r="N227" t="s">
        <v>901</v>
      </c>
      <c r="P227" t="s">
        <v>902</v>
      </c>
    </row>
    <row r="228" spans="2:18" hidden="1" x14ac:dyDescent="0.25">
      <c r="B228" t="s">
        <v>60</v>
      </c>
      <c r="C228" t="s">
        <v>66</v>
      </c>
      <c r="I228">
        <v>2314.4899999999998</v>
      </c>
      <c r="J228" s="10">
        <v>45155</v>
      </c>
      <c r="K228" t="s">
        <v>100</v>
      </c>
      <c r="L228" s="16" t="s">
        <v>904</v>
      </c>
      <c r="M228" s="7" t="str">
        <f>IF(K228="收_客户",INDEX(客户信息维护!C:C,MATCH(银行日记账登记!L228,客户信息维护!B:B,0)),IF(K228="支_供应商",INDEX(供应商信息维护!C:C,MATCH(银行日记账登记!L228,供应商信息维护!B:B,0)),""))</f>
        <v>IMPORTANCIA SIMPATICA UNIPESSOAL LDA 刘荣女儿店</v>
      </c>
      <c r="N228" t="s">
        <v>906</v>
      </c>
      <c r="Q228" t="s">
        <v>79</v>
      </c>
      <c r="R228" t="s">
        <v>907</v>
      </c>
    </row>
    <row r="229" spans="2:18" hidden="1" x14ac:dyDescent="0.25">
      <c r="B229" t="s">
        <v>55</v>
      </c>
      <c r="C229" t="s">
        <v>127</v>
      </c>
      <c r="I229">
        <v>-13000</v>
      </c>
      <c r="J229" s="10">
        <v>45155</v>
      </c>
      <c r="K229" t="s">
        <v>237</v>
      </c>
      <c r="M229" s="7" t="str">
        <f>IF(K229="收_客户",INDEX(客户信息维护!C:C,MATCH(银行日记账登记!L229,客户信息维护!B:B,0)),IF(K229="支_供应商",INDEX(供应商信息维护!C:C,MATCH(银行日记账登记!L229,供应商信息维护!B:B,0)),""))</f>
        <v/>
      </c>
      <c r="N229" t="s">
        <v>908</v>
      </c>
      <c r="P229" t="s">
        <v>821</v>
      </c>
    </row>
    <row r="230" spans="2:18" hidden="1" x14ac:dyDescent="0.25">
      <c r="B230" t="s">
        <v>55</v>
      </c>
      <c r="C230" t="s">
        <v>127</v>
      </c>
      <c r="I230">
        <v>526.14</v>
      </c>
      <c r="J230" s="10">
        <v>45155</v>
      </c>
      <c r="K230" t="s">
        <v>100</v>
      </c>
      <c r="L230" s="1" t="s">
        <v>227</v>
      </c>
      <c r="M230" s="7" t="str">
        <f>IF(K230="收_客户",INDEX(客户信息维护!C:C,MATCH(银行日记账登记!L230,客户信息维护!B:B,0)),IF(K230="支_供应商",INDEX(供应商信息维护!C:C,MATCH(银行日记账登记!L230,供应商信息维护!B:B,0)),""))</f>
        <v>HAIPING LIU</v>
      </c>
      <c r="N230" t="s">
        <v>909</v>
      </c>
      <c r="Q230" t="s">
        <v>79</v>
      </c>
      <c r="R230" t="s">
        <v>917</v>
      </c>
    </row>
    <row r="231" spans="2:18" hidden="1" x14ac:dyDescent="0.25">
      <c r="B231" t="s">
        <v>55</v>
      </c>
      <c r="C231" t="s">
        <v>127</v>
      </c>
      <c r="I231">
        <v>484.57</v>
      </c>
      <c r="J231" s="10">
        <v>45155</v>
      </c>
      <c r="K231" t="s">
        <v>100</v>
      </c>
      <c r="L231" s="1" t="s">
        <v>910</v>
      </c>
      <c r="M231" s="7" t="str">
        <f>IF(K231="收_客户",INDEX(客户信息维护!C:C,MATCH(银行日记账登记!L231,客户信息维护!B:B,0)),IF(K231="支_供应商",INDEX(供应商信息维护!C:C,MATCH(银行日记账登记!L231,供应商信息维护!B:B,0)),""))</f>
        <v>QIUJUN PING</v>
      </c>
      <c r="N231" t="s">
        <v>912</v>
      </c>
      <c r="Q231" t="s">
        <v>79</v>
      </c>
      <c r="R231" t="s">
        <v>918</v>
      </c>
    </row>
    <row r="232" spans="2:18" hidden="1" x14ac:dyDescent="0.25">
      <c r="B232" t="s">
        <v>55</v>
      </c>
      <c r="C232" t="s">
        <v>127</v>
      </c>
      <c r="I232">
        <v>210.08</v>
      </c>
      <c r="J232" s="10">
        <v>45155</v>
      </c>
      <c r="K232" t="s">
        <v>100</v>
      </c>
      <c r="L232" s="1" t="s">
        <v>304</v>
      </c>
      <c r="M232" s="7" t="str">
        <f>IF(K232="收_客户",INDEX(客户信息维护!C:C,MATCH(银行日记账登记!L232,客户信息维护!B:B,0)),IF(K232="支_供应商",INDEX(供应商信息维护!C:C,MATCH(银行日记账登记!L232,供应商信息维护!B:B,0)),""))</f>
        <v>EL AZRAK MERJANI HAMZA</v>
      </c>
      <c r="N232" t="s">
        <v>913</v>
      </c>
      <c r="Q232" t="s">
        <v>79</v>
      </c>
      <c r="R232" t="s">
        <v>919</v>
      </c>
    </row>
    <row r="233" spans="2:18" hidden="1" x14ac:dyDescent="0.25">
      <c r="B233" t="s">
        <v>55</v>
      </c>
      <c r="C233" t="s">
        <v>127</v>
      </c>
      <c r="I233">
        <v>1106.67</v>
      </c>
      <c r="J233" s="10">
        <v>45156</v>
      </c>
      <c r="K233" t="s">
        <v>100</v>
      </c>
      <c r="L233" s="1" t="s">
        <v>914</v>
      </c>
      <c r="M233" s="7" t="str">
        <f>IF(K233="收_客户",INDEX(客户信息维护!C:C,MATCH(银行日记账登记!L233,客户信息维护!B:B,0)),IF(K233="支_供应商",INDEX(供应商信息维护!C:C,MATCH(银行日记账登记!L233,供应商信息维护!B:B,0)),""))</f>
        <v>BAZAR LIJUN ZHANG S.L</v>
      </c>
      <c r="N233" t="s">
        <v>916</v>
      </c>
      <c r="Q233" t="s">
        <v>79</v>
      </c>
      <c r="R233" t="s">
        <v>920</v>
      </c>
    </row>
    <row r="234" spans="2:18" hidden="1" x14ac:dyDescent="0.25">
      <c r="B234" t="s">
        <v>55</v>
      </c>
      <c r="C234" t="s">
        <v>63</v>
      </c>
      <c r="I234">
        <v>-2296</v>
      </c>
      <c r="J234" s="10">
        <v>45155</v>
      </c>
      <c r="K234" t="s">
        <v>237</v>
      </c>
      <c r="M234" s="7" t="str">
        <f>IF(K234="收_客户",INDEX(客户信息维护!C:C,MATCH(银行日记账登记!L234,客户信息维护!B:B,0)),IF(K234="支_供应商",INDEX(供应商信息维护!C:C,MATCH(银行日记账登记!L234,供应商信息维护!B:B,0)),""))</f>
        <v/>
      </c>
      <c r="N234" t="s">
        <v>921</v>
      </c>
      <c r="P234" t="s">
        <v>887</v>
      </c>
    </row>
    <row r="235" spans="2:18" hidden="1" x14ac:dyDescent="0.25">
      <c r="B235" t="s">
        <v>60</v>
      </c>
      <c r="C235" t="s">
        <v>66</v>
      </c>
      <c r="I235">
        <v>1947.85</v>
      </c>
      <c r="J235" s="10">
        <v>45156</v>
      </c>
      <c r="K235" t="s">
        <v>100</v>
      </c>
      <c r="L235" s="16" t="s">
        <v>922</v>
      </c>
      <c r="M235" s="7" t="str">
        <f>IF(K235="收_客户",INDEX(客户信息维护!C:C,MATCH(银行日记账登记!L235,客户信息维护!B:B,0)),IF(K235="支_供应商",INDEX(供应商信息维护!C:C,MATCH(银行日记账登记!L235,供应商信息维护!B:B,0)),""))</f>
        <v>CHEN JIANXIN 陈建新</v>
      </c>
      <c r="N235" t="s">
        <v>924</v>
      </c>
      <c r="Q235" t="s">
        <v>79</v>
      </c>
      <c r="R235" t="s">
        <v>925</v>
      </c>
    </row>
    <row r="236" spans="2:18" hidden="1" x14ac:dyDescent="0.25">
      <c r="B236" t="s">
        <v>55</v>
      </c>
      <c r="C236" t="s">
        <v>127</v>
      </c>
      <c r="I236">
        <v>-4000</v>
      </c>
      <c r="J236" s="10">
        <v>45156</v>
      </c>
      <c r="K236" t="s">
        <v>237</v>
      </c>
      <c r="M236" s="7" t="str">
        <f>IF(K236="收_客户",INDEX(客户信息维护!C:C,MATCH(银行日记账登记!L236,客户信息维护!B:B,0)),IF(K236="支_供应商",INDEX(供应商信息维护!C:C,MATCH(银行日记账登记!L236,供应商信息维护!B:B,0)),""))</f>
        <v/>
      </c>
      <c r="N236" t="s">
        <v>926</v>
      </c>
      <c r="P236" t="s">
        <v>927</v>
      </c>
    </row>
    <row r="237" spans="2:18" hidden="1" x14ac:dyDescent="0.25">
      <c r="B237" t="s">
        <v>55</v>
      </c>
      <c r="C237" t="s">
        <v>127</v>
      </c>
      <c r="I237">
        <v>4101.3100000000004</v>
      </c>
      <c r="J237" s="10">
        <v>45157</v>
      </c>
      <c r="K237" t="s">
        <v>100</v>
      </c>
      <c r="L237" s="1" t="s">
        <v>928</v>
      </c>
      <c r="M237" s="7" t="str">
        <f>IF(K237="收_客户",INDEX(客户信息维护!C:C,MATCH(银行日记账登记!L237,客户信息维护!B:B,0)),IF(K237="支_供应商",INDEX(供应商信息维护!C:C,MATCH(银行日记账登记!L237,供应商信息维护!B:B,0)),""))</f>
        <v>BAZAR LEGANES CENTRAL S.L</v>
      </c>
      <c r="N237" t="s">
        <v>930</v>
      </c>
      <c r="Q237" t="s">
        <v>79</v>
      </c>
      <c r="R237" t="s">
        <v>938</v>
      </c>
    </row>
    <row r="238" spans="2:18" hidden="1" x14ac:dyDescent="0.25">
      <c r="B238" t="s">
        <v>55</v>
      </c>
      <c r="C238" t="s">
        <v>127</v>
      </c>
      <c r="I238">
        <v>218.54</v>
      </c>
      <c r="J238" s="10">
        <v>45157</v>
      </c>
      <c r="K238" t="s">
        <v>100</v>
      </c>
      <c r="L238" s="1" t="s">
        <v>928</v>
      </c>
      <c r="M238" s="7" t="str">
        <f>IF(K238="收_客户",INDEX(客户信息维护!C:C,MATCH(银行日记账登记!L238,客户信息维护!B:B,0)),IF(K238="支_供应商",INDEX(供应商信息维护!C:C,MATCH(银行日记账登记!L238,供应商信息维护!B:B,0)),""))</f>
        <v>BAZAR LEGANES CENTRAL S.L</v>
      </c>
      <c r="N238" t="s">
        <v>931</v>
      </c>
      <c r="Q238" t="s">
        <v>79</v>
      </c>
      <c r="R238" t="s">
        <v>939</v>
      </c>
    </row>
    <row r="239" spans="2:18" hidden="1" x14ac:dyDescent="0.25">
      <c r="B239" t="s">
        <v>55</v>
      </c>
      <c r="C239" t="s">
        <v>127</v>
      </c>
      <c r="I239">
        <v>596.76</v>
      </c>
      <c r="J239" s="10">
        <v>45157</v>
      </c>
      <c r="K239" t="s">
        <v>100</v>
      </c>
      <c r="L239" s="1" t="s">
        <v>932</v>
      </c>
      <c r="M239" s="7" t="str">
        <f>IF(K239="收_客户",INDEX(客户信息维护!C:C,MATCH(银行日记账登记!L239,客户信息维护!B:B,0)),IF(K239="支_供应商",INDEX(供应商信息维护!C:C,MATCH(银行日记账登记!L239,供应商信息维护!B:B,0)),""))</f>
        <v>XIAOYI WANG</v>
      </c>
      <c r="N239" t="s">
        <v>934</v>
      </c>
      <c r="Q239" t="s">
        <v>79</v>
      </c>
      <c r="R239" t="s">
        <v>940</v>
      </c>
    </row>
    <row r="240" spans="2:18" hidden="1" x14ac:dyDescent="0.25">
      <c r="B240" t="s">
        <v>55</v>
      </c>
      <c r="C240" t="s">
        <v>63</v>
      </c>
      <c r="I240">
        <v>-8564.41</v>
      </c>
      <c r="J240" s="10">
        <v>45156</v>
      </c>
      <c r="K240" t="s">
        <v>237</v>
      </c>
      <c r="M240" s="7" t="str">
        <f>IF(K240="收_客户",INDEX(客户信息维护!C:C,MATCH(银行日记账登记!L240,客户信息维护!B:B,0)),IF(K240="支_供应商",INDEX(供应商信息维护!C:C,MATCH(银行日记账登记!L240,供应商信息维护!B:B,0)),""))</f>
        <v/>
      </c>
      <c r="N240" t="s">
        <v>926</v>
      </c>
      <c r="P240" t="s">
        <v>927</v>
      </c>
    </row>
    <row r="241" spans="2:18" hidden="1" x14ac:dyDescent="0.25">
      <c r="B241" t="s">
        <v>55</v>
      </c>
      <c r="C241" t="s">
        <v>63</v>
      </c>
      <c r="I241">
        <v>349.79</v>
      </c>
      <c r="J241" s="10">
        <v>45156</v>
      </c>
      <c r="K241" t="s">
        <v>100</v>
      </c>
      <c r="L241" s="1" t="s">
        <v>935</v>
      </c>
      <c r="M241" s="7" t="str">
        <f>IF(K241="收_客户",INDEX(客户信息维护!C:C,MATCH(银行日记账登记!L241,客户信息维护!B:B,0)),IF(K241="支_供应商",INDEX(供应商信息维护!C:C,MATCH(银行日记账登记!L241,供应商信息维护!B:B,0)),""))</f>
        <v>TINGTING PAN</v>
      </c>
      <c r="N241" t="s">
        <v>937</v>
      </c>
      <c r="Q241" t="s">
        <v>79</v>
      </c>
      <c r="R241" t="s">
        <v>941</v>
      </c>
    </row>
    <row r="242" spans="2:18" hidden="1" x14ac:dyDescent="0.25">
      <c r="B242" t="s">
        <v>55</v>
      </c>
      <c r="C242" t="s">
        <v>63</v>
      </c>
      <c r="I242">
        <v>797.73</v>
      </c>
      <c r="J242" s="10">
        <v>45159</v>
      </c>
      <c r="K242" t="s">
        <v>100</v>
      </c>
      <c r="L242" s="1" t="s">
        <v>942</v>
      </c>
      <c r="M242" s="7" t="str">
        <f>IF(K242="收_客户",INDEX(客户信息维护!C:C,MATCH(银行日记账登记!L242,客户信息维护!B:B,0)),IF(K242="支_供应商",INDEX(供应商信息维护!C:C,MATCH(银行日记账登记!L242,供应商信息维护!B:B,0)),""))</f>
        <v>CHUNQING ZHANG</v>
      </c>
      <c r="N242" t="s">
        <v>944</v>
      </c>
      <c r="Q242" t="s">
        <v>79</v>
      </c>
      <c r="R242" t="s">
        <v>945</v>
      </c>
    </row>
    <row r="243" spans="2:18" hidden="1" x14ac:dyDescent="0.25">
      <c r="B243" t="s">
        <v>55</v>
      </c>
      <c r="C243" t="s">
        <v>63</v>
      </c>
      <c r="I243">
        <v>3000</v>
      </c>
      <c r="J243" s="10">
        <v>45159</v>
      </c>
      <c r="K243" t="s">
        <v>100</v>
      </c>
      <c r="L243" s="1" t="s">
        <v>137</v>
      </c>
      <c r="M243" s="7" t="str">
        <f>IF(K243="收_客户",INDEX(客户信息维护!C:C,MATCH(银行日记账登记!L243,客户信息维护!B:B,0)),IF(K243="支_供应商",INDEX(供应商信息维护!C:C,MATCH(银行日记账登记!L243,供应商信息维护!B:B,0)),""))</f>
        <v>MULTICENTRO ORIENTAL S.L</v>
      </c>
      <c r="N243" t="s">
        <v>139</v>
      </c>
      <c r="Q243" t="s">
        <v>79</v>
      </c>
      <c r="R243" t="s">
        <v>946</v>
      </c>
    </row>
    <row r="244" spans="2:18" hidden="1" x14ac:dyDescent="0.25">
      <c r="B244" t="s">
        <v>60</v>
      </c>
      <c r="C244" t="s">
        <v>66</v>
      </c>
      <c r="I244">
        <v>-5442.03</v>
      </c>
      <c r="J244" s="10">
        <v>45156</v>
      </c>
      <c r="K244" t="s">
        <v>263</v>
      </c>
      <c r="M244" s="7" t="str">
        <f>IF(K244="收_客户",INDEX(客户信息维护!C:C,MATCH(银行日记账登记!L244,客户信息维护!B:B,0)),IF(K244="支_供应商",INDEX(供应商信息维护!C:C,MATCH(银行日记账登记!L244,供应商信息维护!B:B,0)),""))</f>
        <v/>
      </c>
      <c r="N244" t="s">
        <v>951</v>
      </c>
      <c r="P244" t="s">
        <v>952</v>
      </c>
    </row>
    <row r="245" spans="2:18" hidden="1" x14ac:dyDescent="0.25">
      <c r="B245" t="s">
        <v>60</v>
      </c>
      <c r="C245" t="s">
        <v>66</v>
      </c>
      <c r="I245">
        <v>1263.83</v>
      </c>
      <c r="J245" s="10">
        <v>45159</v>
      </c>
      <c r="K245" t="s">
        <v>100</v>
      </c>
      <c r="L245" s="16" t="s">
        <v>947</v>
      </c>
      <c r="M245" s="7" t="str">
        <f>IF(K245="收_客户",INDEX(客户信息维护!C:C,MATCH(银行日记账登记!L245,客户信息维护!B:B,0)),IF(K245="支_供应商",INDEX(供应商信息维护!C:C,MATCH(银行日记账登记!L245,供应商信息维护!B:B,0)),""))</f>
        <v>ALCANCE A MANEIRA UNIPESSOAL LDA 徐正益新店</v>
      </c>
      <c r="N245" t="s">
        <v>949</v>
      </c>
      <c r="Q245" t="s">
        <v>79</v>
      </c>
      <c r="R245" t="s">
        <v>950</v>
      </c>
    </row>
    <row r="246" spans="2:18" hidden="1" x14ac:dyDescent="0.25">
      <c r="B246" t="s">
        <v>55</v>
      </c>
      <c r="C246" t="s">
        <v>63</v>
      </c>
      <c r="I246">
        <v>5000</v>
      </c>
      <c r="J246" s="10">
        <v>45159</v>
      </c>
      <c r="K246" t="s">
        <v>263</v>
      </c>
      <c r="M246" s="7" t="str">
        <f>IF(K246="收_客户",INDEX(客户信息维护!C:C,MATCH(银行日记账登记!L246,客户信息维护!B:B,0)),IF(K246="支_供应商",INDEX(供应商信息维护!C:C,MATCH(银行日记账登记!L246,供应商信息维护!B:B,0)),""))</f>
        <v/>
      </c>
      <c r="N246" t="s">
        <v>874</v>
      </c>
      <c r="P246" t="s">
        <v>954</v>
      </c>
    </row>
    <row r="247" spans="2:18" hidden="1" x14ac:dyDescent="0.25">
      <c r="B247" t="s">
        <v>55</v>
      </c>
      <c r="C247" t="s">
        <v>63</v>
      </c>
      <c r="I247">
        <v>5442.03</v>
      </c>
      <c r="J247" s="10">
        <v>45159</v>
      </c>
      <c r="K247" t="s">
        <v>263</v>
      </c>
      <c r="M247" s="7" t="str">
        <f>IF(K247="收_客户",INDEX(客户信息维护!C:C,MATCH(银行日记账登记!L247,客户信息维护!B:B,0)),IF(K247="支_供应商",INDEX(供应商信息维护!C:C,MATCH(银行日记账登记!L247,供应商信息维护!B:B,0)),""))</f>
        <v/>
      </c>
      <c r="N247" t="s">
        <v>951</v>
      </c>
      <c r="P247" t="s">
        <v>953</v>
      </c>
    </row>
    <row r="248" spans="2:18" hidden="1" x14ac:dyDescent="0.25">
      <c r="B248" t="s">
        <v>60</v>
      </c>
      <c r="C248" t="s">
        <v>66</v>
      </c>
      <c r="I248">
        <v>5000</v>
      </c>
      <c r="J248" s="10">
        <v>45159</v>
      </c>
      <c r="K248" t="s">
        <v>100</v>
      </c>
      <c r="L248" s="16" t="s">
        <v>955</v>
      </c>
      <c r="M248" s="7" t="str">
        <f>IF(K248="收_客户",INDEX(客户信息维护!C:C,MATCH(银行日记账登记!L248,客户信息维护!B:B,0)),IF(K248="支_供应商",INDEX(供应商信息维护!C:C,MATCH(银行日记账登记!L248,供应商信息维护!B:B,0)),""))</f>
        <v>FANTASY&amp;IMAGINATION LDA 毛晓东</v>
      </c>
      <c r="N248" t="s">
        <v>957</v>
      </c>
      <c r="P248" t="s">
        <v>303</v>
      </c>
      <c r="Q248" t="s">
        <v>79</v>
      </c>
      <c r="R248" t="s">
        <v>964</v>
      </c>
    </row>
    <row r="249" spans="2:18" hidden="1" x14ac:dyDescent="0.25">
      <c r="B249" t="s">
        <v>60</v>
      </c>
      <c r="C249" t="s">
        <v>66</v>
      </c>
      <c r="I249">
        <v>2771.92</v>
      </c>
      <c r="J249" s="10">
        <v>45159</v>
      </c>
      <c r="K249" t="s">
        <v>100</v>
      </c>
      <c r="L249" s="16" t="s">
        <v>958</v>
      </c>
      <c r="M249" s="7" t="str">
        <f>IF(K249="收_客户",INDEX(客户信息维护!C:C,MATCH(银行日记账登记!L249,客户信息维护!B:B,0)),IF(K249="支_供应商",INDEX(供应商信息维护!C:C,MATCH(银行日记账登记!L249,供应商信息维护!B:B,0)),""))</f>
        <v>SURPRESAS E AVENTURAS LDA 小峰</v>
      </c>
      <c r="N249" t="s">
        <v>960</v>
      </c>
      <c r="P249" t="s">
        <v>303</v>
      </c>
      <c r="Q249" t="s">
        <v>79</v>
      </c>
      <c r="R249" t="s">
        <v>965</v>
      </c>
    </row>
    <row r="250" spans="2:18" hidden="1" x14ac:dyDescent="0.25">
      <c r="B250" t="s">
        <v>60</v>
      </c>
      <c r="C250" t="s">
        <v>66</v>
      </c>
      <c r="I250">
        <v>1561.2</v>
      </c>
      <c r="J250" s="10">
        <v>45159</v>
      </c>
      <c r="K250" t="s">
        <v>100</v>
      </c>
      <c r="L250" s="16" t="s">
        <v>961</v>
      </c>
      <c r="M250" s="7" t="str">
        <f>IF(K250="收_客户",INDEX(客户信息维护!C:C,MATCH(银行日记账登记!L250,客户信息维护!B:B,0)),IF(K250="支_供应商",INDEX(供应商信息维护!C:C,MATCH(银行日记账登记!L250,供应商信息维护!B:B,0)),""))</f>
        <v>LILAS TIMIDO, LDA</v>
      </c>
      <c r="N250" t="s">
        <v>963</v>
      </c>
      <c r="P250" t="s">
        <v>303</v>
      </c>
      <c r="Q250" t="s">
        <v>79</v>
      </c>
      <c r="R250" t="s">
        <v>966</v>
      </c>
    </row>
    <row r="251" spans="2:18" hidden="1" x14ac:dyDescent="0.25">
      <c r="B251" t="s">
        <v>55</v>
      </c>
      <c r="C251" t="s">
        <v>63</v>
      </c>
      <c r="I251">
        <v>1160.69</v>
      </c>
      <c r="J251" s="10">
        <v>45159</v>
      </c>
      <c r="K251" t="s">
        <v>100</v>
      </c>
      <c r="L251" s="1" t="s">
        <v>968</v>
      </c>
      <c r="M251" s="7" t="str">
        <f>IF(K251="收_客户",INDEX(客户信息维护!C:C,MATCH(银行日记账登记!L251,客户信息维护!B:B,0)),IF(K251="支_供应商",INDEX(供应商信息维护!C:C,MATCH(银行日记账登记!L251,供应商信息维护!B:B,0)),""))</f>
        <v>SUPERMERCADOS SUPERFOODS S.L.</v>
      </c>
      <c r="N251" t="s">
        <v>970</v>
      </c>
      <c r="P251" t="s">
        <v>303</v>
      </c>
      <c r="Q251" t="s">
        <v>79</v>
      </c>
      <c r="R251" t="s">
        <v>971</v>
      </c>
    </row>
    <row r="252" spans="2:18" hidden="1" x14ac:dyDescent="0.25">
      <c r="B252" t="s">
        <v>55</v>
      </c>
      <c r="C252" t="s">
        <v>63</v>
      </c>
      <c r="I252">
        <v>513</v>
      </c>
      <c r="J252" s="10">
        <v>45159</v>
      </c>
      <c r="K252" t="s">
        <v>100</v>
      </c>
      <c r="L252" s="1" t="s">
        <v>665</v>
      </c>
      <c r="M252" s="7" t="str">
        <f>IF(K252="收_客户",INDEX(客户信息维护!C:C,MATCH(银行日记账登记!L252,客户信息维护!B:B,0)),IF(K252="支_供应商",INDEX(供应商信息维护!C:C,MATCH(银行日记账登记!L252,供应商信息维护!B:B,0)),""))</f>
        <v>MARK ZUX S.L.</v>
      </c>
      <c r="N252" t="s">
        <v>967</v>
      </c>
      <c r="P252" t="s">
        <v>303</v>
      </c>
      <c r="Q252" t="s">
        <v>79</v>
      </c>
      <c r="R252" t="s">
        <v>972</v>
      </c>
    </row>
    <row r="253" spans="2:18" hidden="1" x14ac:dyDescent="0.25">
      <c r="B253" t="s">
        <v>60</v>
      </c>
      <c r="C253" t="s">
        <v>66</v>
      </c>
      <c r="I253">
        <v>1666.22</v>
      </c>
      <c r="J253" s="10">
        <v>45160</v>
      </c>
      <c r="K253" t="s">
        <v>100</v>
      </c>
      <c r="L253" s="16" t="s">
        <v>973</v>
      </c>
      <c r="M253" s="7" t="str">
        <f>IF(K253="收_客户",INDEX(客户信息维护!C:C,MATCH(银行日记账登记!L253,客户信息维护!B:B,0)),IF(K253="支_供应商",INDEX(供应商信息维护!C:C,MATCH(银行日记账登记!L253,供应商信息维护!B:B,0)),""))</f>
        <v>XU ZHENG 郑旭</v>
      </c>
      <c r="N253" t="s">
        <v>975</v>
      </c>
      <c r="Q253" t="s">
        <v>79</v>
      </c>
      <c r="R253" t="s">
        <v>976</v>
      </c>
    </row>
    <row r="254" spans="2:18" hidden="1" x14ac:dyDescent="0.25">
      <c r="B254" t="s">
        <v>60</v>
      </c>
      <c r="C254" t="s">
        <v>350</v>
      </c>
      <c r="I254">
        <v>4693.2</v>
      </c>
      <c r="J254" s="10">
        <v>45160</v>
      </c>
      <c r="K254" t="s">
        <v>100</v>
      </c>
      <c r="L254" s="16" t="s">
        <v>977</v>
      </c>
      <c r="M254" s="7" t="str">
        <f>IF(K254="收_客户",INDEX(客户信息维护!C:C,MATCH(银行日记账登记!L254,客户信息维护!B:B,0)),IF(K254="支_供应商",INDEX(供应商信息维护!C:C,MATCH(银行日记账登记!L254,供应商信息维护!B:B,0)),""))</f>
        <v>FUTURO ENCANTADO LDA 刘荣</v>
      </c>
      <c r="N254" t="s">
        <v>979</v>
      </c>
      <c r="Q254" t="s">
        <v>79</v>
      </c>
      <c r="R254" t="s">
        <v>981</v>
      </c>
    </row>
    <row r="255" spans="2:18" hidden="1" x14ac:dyDescent="0.25">
      <c r="B255" t="s">
        <v>60</v>
      </c>
      <c r="C255" t="s">
        <v>350</v>
      </c>
      <c r="I255">
        <v>5199.03</v>
      </c>
      <c r="J255" s="10">
        <v>45160</v>
      </c>
      <c r="K255" t="s">
        <v>100</v>
      </c>
      <c r="L255" s="16" t="s">
        <v>977</v>
      </c>
      <c r="M255" s="7" t="str">
        <f>IF(K255="收_客户",INDEX(客户信息维护!C:C,MATCH(银行日记账登记!L255,客户信息维护!B:B,0)),IF(K255="支_供应商",INDEX(供应商信息维护!C:C,MATCH(银行日记账登记!L255,供应商信息维护!B:B,0)),""))</f>
        <v>FUTURO ENCANTADO LDA 刘荣</v>
      </c>
      <c r="N255" t="s">
        <v>980</v>
      </c>
      <c r="Q255" t="s">
        <v>79</v>
      </c>
      <c r="R255" t="s">
        <v>982</v>
      </c>
    </row>
    <row r="256" spans="2:18" hidden="1" x14ac:dyDescent="0.25">
      <c r="B256" t="s">
        <v>55</v>
      </c>
      <c r="C256" t="s">
        <v>127</v>
      </c>
      <c r="I256">
        <v>575.46</v>
      </c>
      <c r="J256" s="10">
        <v>45160</v>
      </c>
      <c r="K256" t="s">
        <v>100</v>
      </c>
      <c r="L256" s="1" t="s">
        <v>983</v>
      </c>
      <c r="M256" s="7" t="str">
        <f>IF(K256="收_客户",INDEX(客户信息维护!C:C,MATCH(银行日记账登记!L256,客户信息维护!B:B,0)),IF(K256="支_供应商",INDEX(供应商信息维护!C:C,MATCH(银行日记账登记!L256,供应商信息维护!B:B,0)),""))</f>
        <v>HU CHEN HOME 2022 S.L</v>
      </c>
      <c r="N256" t="s">
        <v>985</v>
      </c>
      <c r="Q256" t="s">
        <v>79</v>
      </c>
      <c r="R256" t="s">
        <v>990</v>
      </c>
    </row>
    <row r="257" spans="2:18" hidden="1" x14ac:dyDescent="0.25">
      <c r="B257" t="s">
        <v>55</v>
      </c>
      <c r="C257" t="s">
        <v>127</v>
      </c>
      <c r="I257">
        <v>897.55</v>
      </c>
      <c r="J257" s="10">
        <v>45160</v>
      </c>
      <c r="K257" t="s">
        <v>100</v>
      </c>
      <c r="L257" s="1" t="s">
        <v>310</v>
      </c>
      <c r="M257" s="7" t="str">
        <f>IF(K257="收_客户",INDEX(客户信息维护!C:C,MATCH(银行日记账登记!L257,客户信息维护!B:B,0)),IF(K257="支_供应商",INDEX(供应商信息维护!C:C,MATCH(银行日记账登记!L257,供应商信息维护!B:B,0)),""))</f>
        <v>NHAFKRA 050 S.L</v>
      </c>
      <c r="N257" t="s">
        <v>986</v>
      </c>
      <c r="Q257" t="s">
        <v>79</v>
      </c>
      <c r="R257" t="s">
        <v>991</v>
      </c>
    </row>
    <row r="258" spans="2:18" hidden="1" x14ac:dyDescent="0.25">
      <c r="B258" t="s">
        <v>55</v>
      </c>
      <c r="C258" t="s">
        <v>127</v>
      </c>
      <c r="I258">
        <v>496.63</v>
      </c>
      <c r="J258" s="10">
        <v>45160</v>
      </c>
      <c r="K258" t="s">
        <v>100</v>
      </c>
      <c r="L258" s="1" t="s">
        <v>987</v>
      </c>
      <c r="M258" s="7" t="str">
        <f>IF(K258="收_客户",INDEX(客户信息维护!C:C,MATCH(银行日记账登记!L258,客户信息维护!B:B,0)),IF(K258="支_供应商",INDEX(供应商信息维护!C:C,MATCH(银行日记账登记!L258,供应商信息维护!B:B,0)),""))</f>
        <v>QINGSONG JIANKANG SL.</v>
      </c>
      <c r="N258" t="s">
        <v>989</v>
      </c>
      <c r="P258" t="s">
        <v>533</v>
      </c>
      <c r="Q258" t="s">
        <v>79</v>
      </c>
      <c r="R258" t="s">
        <v>992</v>
      </c>
    </row>
    <row r="259" spans="2:18" hidden="1" x14ac:dyDescent="0.25">
      <c r="B259" t="s">
        <v>55</v>
      </c>
      <c r="C259" t="s">
        <v>63</v>
      </c>
      <c r="I259">
        <v>724.91</v>
      </c>
      <c r="J259" s="10">
        <v>45160</v>
      </c>
      <c r="K259" t="s">
        <v>100</v>
      </c>
      <c r="L259" s="1" t="s">
        <v>993</v>
      </c>
      <c r="M259" s="7" t="str">
        <f>IF(K259="收_客户",INDEX(客户信息维护!C:C,MATCH(银行日记账登记!L259,客户信息维护!B:B,0)),IF(K259="支_供应商",INDEX(供应商信息维护!C:C,MATCH(银行日记账登记!L259,供应商信息维护!B:B,0)),""))</f>
        <v>XINMIAO ZHENG</v>
      </c>
      <c r="N259" t="s">
        <v>995</v>
      </c>
      <c r="Q259" t="s">
        <v>79</v>
      </c>
      <c r="R259" t="s">
        <v>1003</v>
      </c>
    </row>
    <row r="260" spans="2:18" hidden="1" x14ac:dyDescent="0.25">
      <c r="B260" t="s">
        <v>55</v>
      </c>
      <c r="C260" t="s">
        <v>63</v>
      </c>
      <c r="I260">
        <v>854</v>
      </c>
      <c r="J260" s="10">
        <v>45160</v>
      </c>
      <c r="K260" t="s">
        <v>100</v>
      </c>
      <c r="L260" s="1" t="s">
        <v>996</v>
      </c>
      <c r="M260" s="7" t="str">
        <f>IF(K260="收_客户",INDEX(客户信息维护!C:C,MATCH(银行日记账登记!L260,客户信息维护!B:B,0)),IF(K260="支_供应商",INDEX(供应商信息维护!C:C,MATCH(银行日记账登记!L260,供应商信息维护!B:B,0)),""))</f>
        <v>MARKET FAMILY XU S.L</v>
      </c>
      <c r="N260" t="s">
        <v>998</v>
      </c>
      <c r="Q260" t="s">
        <v>79</v>
      </c>
      <c r="R260" t="s">
        <v>1004</v>
      </c>
    </row>
    <row r="261" spans="2:18" hidden="1" x14ac:dyDescent="0.25">
      <c r="B261" t="s">
        <v>55</v>
      </c>
      <c r="C261" t="s">
        <v>63</v>
      </c>
      <c r="I261">
        <v>405.54</v>
      </c>
      <c r="J261" s="10">
        <v>45161</v>
      </c>
      <c r="K261" t="s">
        <v>100</v>
      </c>
      <c r="L261" s="1" t="s">
        <v>1000</v>
      </c>
      <c r="M261" s="7" t="s">
        <v>1001</v>
      </c>
      <c r="N261" t="s">
        <v>1002</v>
      </c>
      <c r="Q261" t="s">
        <v>79</v>
      </c>
      <c r="R261" t="s">
        <v>1005</v>
      </c>
    </row>
    <row r="262" spans="2:18" hidden="1" x14ac:dyDescent="0.25">
      <c r="B262" t="s">
        <v>55</v>
      </c>
      <c r="C262" t="s">
        <v>63</v>
      </c>
      <c r="I262">
        <v>9000</v>
      </c>
      <c r="J262" s="10">
        <v>45161</v>
      </c>
      <c r="K262" t="s">
        <v>263</v>
      </c>
      <c r="M262" s="7" t="str">
        <f>IF(K262="收_客户",INDEX(客户信息维护!C:C,MATCH(银行日记账登记!L262,客户信息维护!B:B,0)),IF(K262="支_供应商",INDEX(供应商信息维护!C:C,MATCH(银行日记账登记!L262,供应商信息维护!B:B,0)),""))</f>
        <v/>
      </c>
      <c r="N262" t="s">
        <v>797</v>
      </c>
      <c r="P262" t="s">
        <v>999</v>
      </c>
    </row>
    <row r="263" spans="2:18" hidden="1" x14ac:dyDescent="0.25">
      <c r="B263" t="s">
        <v>60</v>
      </c>
      <c r="C263" t="s">
        <v>66</v>
      </c>
      <c r="I263">
        <v>2036.61</v>
      </c>
      <c r="J263" s="10">
        <v>45160</v>
      </c>
      <c r="K263" t="s">
        <v>100</v>
      </c>
      <c r="L263" s="16" t="s">
        <v>1006</v>
      </c>
      <c r="M263" s="7" t="str">
        <f>IF(K263="收_客户",INDEX(客户信息维护!C:C,MATCH(银行日记账登记!L263,客户信息维护!B:B,0)),IF(K263="支_供应商",INDEX(供应商信息维护!C:C,MATCH(银行日记账登记!L263,供应商信息维护!B:B,0)),""))</f>
        <v>FACANHA PRINCIPAL LDA 郑海南</v>
      </c>
      <c r="N263" t="s">
        <v>1008</v>
      </c>
      <c r="Q263" t="s">
        <v>79</v>
      </c>
      <c r="R263" t="s">
        <v>1010</v>
      </c>
    </row>
    <row r="264" spans="2:18" hidden="1" x14ac:dyDescent="0.25">
      <c r="B264" t="s">
        <v>60</v>
      </c>
      <c r="C264" t="s">
        <v>66</v>
      </c>
      <c r="I264">
        <v>1226.01</v>
      </c>
      <c r="J264" s="10">
        <v>45161</v>
      </c>
      <c r="K264" t="s">
        <v>100</v>
      </c>
      <c r="L264" s="16" t="s">
        <v>728</v>
      </c>
      <c r="M264" s="7" t="str">
        <f>IF(K264="收_客户",INDEX(客户信息维护!C:C,MATCH(银行日记账登记!L264,客户信息维护!B:B,0)),IF(K264="支_供应商",INDEX(供应商信息维护!C:C,MATCH(银行日记账登记!L264,供应商信息维护!B:B,0)),""))</f>
        <v>LIU FANG UNIPESSOAL LDA 陈旭 刘芳</v>
      </c>
      <c r="N264" t="s">
        <v>1009</v>
      </c>
      <c r="Q264" t="s">
        <v>79</v>
      </c>
      <c r="R264" t="s">
        <v>1011</v>
      </c>
    </row>
    <row r="265" spans="2:18" hidden="1" x14ac:dyDescent="0.25">
      <c r="B265" t="s">
        <v>55</v>
      </c>
      <c r="C265" t="s">
        <v>127</v>
      </c>
      <c r="I265">
        <v>3995.2</v>
      </c>
      <c r="J265" s="10">
        <v>45162</v>
      </c>
      <c r="K265" t="s">
        <v>100</v>
      </c>
      <c r="L265" s="1" t="s">
        <v>1012</v>
      </c>
      <c r="M265" s="7" t="str">
        <f>IF(K265="收_客户",INDEX(客户信息维护!C:C,MATCH(银行日记账登记!L265,客户信息维护!B:B,0)),IF(K265="支_供应商",INDEX(供应商信息维护!C:C,MATCH(银行日记账登记!L265,供应商信息维护!B:B,0)),""))</f>
        <v>ZONGDI ZHENG</v>
      </c>
      <c r="N265" t="s">
        <v>1014</v>
      </c>
      <c r="Q265" t="s">
        <v>79</v>
      </c>
      <c r="R265" t="s">
        <v>1015</v>
      </c>
    </row>
    <row r="266" spans="2:18" hidden="1" x14ac:dyDescent="0.25">
      <c r="B266" t="s">
        <v>55</v>
      </c>
      <c r="C266" t="s">
        <v>63</v>
      </c>
      <c r="I266">
        <v>806.7</v>
      </c>
      <c r="J266" s="10">
        <v>45161</v>
      </c>
      <c r="K266" t="s">
        <v>100</v>
      </c>
      <c r="L266" s="1" t="s">
        <v>1016</v>
      </c>
      <c r="M266" s="7" t="str">
        <f>IF(K266="收_客户",INDEX(客户信息维护!C:C,MATCH(银行日记账登记!L266,客户信息维护!B:B,0)),IF(K266="支_供应商",INDEX(供应商信息维护!C:C,MATCH(银行日记账登记!L266,供应商信息维护!B:B,0)),""))</f>
        <v>BAZAR DONG FANG S.L</v>
      </c>
      <c r="N266" t="s">
        <v>1018</v>
      </c>
      <c r="Q266" t="s">
        <v>79</v>
      </c>
      <c r="R266" t="s">
        <v>1019</v>
      </c>
    </row>
    <row r="267" spans="2:18" hidden="1" x14ac:dyDescent="0.25">
      <c r="B267" t="s">
        <v>55</v>
      </c>
      <c r="C267" t="s">
        <v>127</v>
      </c>
      <c r="I267">
        <v>3773.57</v>
      </c>
      <c r="J267" s="10">
        <v>45162</v>
      </c>
      <c r="K267" t="s">
        <v>100</v>
      </c>
      <c r="L267" s="1" t="s">
        <v>1020</v>
      </c>
      <c r="M267" s="7" t="str">
        <f>IF(K267="收_客户",INDEX(客户信息维护!C:C,MATCH(银行日记账登记!L267,客户信息维护!B:B,0)),IF(K267="支_供应商",INDEX(供应商信息维护!C:C,MATCH(银行日记账登记!L267,供应商信息维护!B:B,0)),""))</f>
        <v>GRUPO KANGXI S.L</v>
      </c>
      <c r="N267" t="s">
        <v>1022</v>
      </c>
      <c r="Q267" t="s">
        <v>79</v>
      </c>
      <c r="R267" t="s">
        <v>1023</v>
      </c>
    </row>
    <row r="268" spans="2:18" hidden="1" x14ac:dyDescent="0.25">
      <c r="B268" t="s">
        <v>55</v>
      </c>
      <c r="C268" t="s">
        <v>127</v>
      </c>
      <c r="I268">
        <v>241.56</v>
      </c>
      <c r="J268" s="10">
        <v>45163</v>
      </c>
      <c r="K268" t="s">
        <v>100</v>
      </c>
      <c r="L268" s="1" t="s">
        <v>1024</v>
      </c>
      <c r="M268" s="7" t="str">
        <f>IF(K268="收_客户",INDEX(客户信息维护!C:C,MATCH(银行日记账登记!L268,客户信息维护!B:B,0)),IF(K268="支_供应商",INDEX(供应商信息维护!C:C,MATCH(银行日记账登记!L268,供应商信息维护!B:B,0)),""))</f>
        <v xml:space="preserve">LIN XIUMEI </v>
      </c>
      <c r="N268" t="s">
        <v>1026</v>
      </c>
      <c r="P268" t="s">
        <v>533</v>
      </c>
      <c r="Q268" t="s">
        <v>79</v>
      </c>
      <c r="R268" t="s">
        <v>1028</v>
      </c>
    </row>
    <row r="269" spans="2:18" hidden="1" x14ac:dyDescent="0.25">
      <c r="B269" t="s">
        <v>55</v>
      </c>
      <c r="C269" t="s">
        <v>127</v>
      </c>
      <c r="I269">
        <v>338.72</v>
      </c>
      <c r="J269" s="10">
        <v>45163</v>
      </c>
      <c r="K269" t="s">
        <v>100</v>
      </c>
      <c r="L269" s="1" t="s">
        <v>75</v>
      </c>
      <c r="M269" s="7" t="str">
        <f>IF(K269="收_客户",INDEX(客户信息维护!C:C,MATCH(银行日记账登记!L269,客户信息维护!B:B,0)),IF(K269="支_供应商",INDEX(供应商信息维护!C:C,MATCH(银行日记账登记!L269,供应商信息维护!B:B,0)),""))</f>
        <v>TEMING CHENG</v>
      </c>
      <c r="N269" t="s">
        <v>1027</v>
      </c>
      <c r="Q269" t="s">
        <v>79</v>
      </c>
      <c r="R269" t="s">
        <v>1029</v>
      </c>
    </row>
    <row r="270" spans="2:18" hidden="1" x14ac:dyDescent="0.25">
      <c r="B270" t="s">
        <v>55</v>
      </c>
      <c r="C270" t="s">
        <v>148</v>
      </c>
      <c r="I270">
        <v>306</v>
      </c>
      <c r="J270" s="10">
        <v>45163</v>
      </c>
      <c r="K270" t="s">
        <v>100</v>
      </c>
      <c r="L270" s="1" t="s">
        <v>553</v>
      </c>
      <c r="M270" s="7" t="str">
        <f>IF(K270="收_客户",INDEX(客户信息维护!C:C,MATCH(银行日记账登记!L270,客户信息维护!B:B,0)),IF(K270="支_供应商",INDEX(供应商信息维护!C:C,MATCH(银行日记账登记!L270,供应商信息维护!B:B,0)),""))</f>
        <v>TRESOR TROVE S.L.</v>
      </c>
      <c r="N270" t="s">
        <v>1030</v>
      </c>
      <c r="Q270" t="s">
        <v>79</v>
      </c>
      <c r="R270" t="s">
        <v>1031</v>
      </c>
    </row>
    <row r="271" spans="2:18" hidden="1" x14ac:dyDescent="0.25">
      <c r="B271" t="s">
        <v>55</v>
      </c>
      <c r="C271" t="s">
        <v>63</v>
      </c>
      <c r="I271">
        <v>1628.45</v>
      </c>
      <c r="J271" s="10">
        <v>45162</v>
      </c>
      <c r="K271" t="s">
        <v>100</v>
      </c>
      <c r="L271" s="1" t="s">
        <v>1032</v>
      </c>
      <c r="M271" s="7" t="str">
        <f>IF(K271="收_客户",INDEX(客户信息维护!C:C,MATCH(银行日记账登记!L271,客户信息维护!B:B,0)),IF(K271="支_供应商",INDEX(供应商信息维护!C:C,MATCH(银行日记账登记!L271,供应商信息维护!B:B,0)),""))</f>
        <v>GRAN BAZAR FAMILIA S.L</v>
      </c>
      <c r="N271" t="s">
        <v>1034</v>
      </c>
      <c r="Q271" t="s">
        <v>79</v>
      </c>
      <c r="R271" t="s">
        <v>1044</v>
      </c>
    </row>
    <row r="272" spans="2:18" hidden="1" x14ac:dyDescent="0.25">
      <c r="B272" t="s">
        <v>55</v>
      </c>
      <c r="C272" t="s">
        <v>63</v>
      </c>
      <c r="I272">
        <v>263.91000000000003</v>
      </c>
      <c r="J272" s="10">
        <v>45162</v>
      </c>
      <c r="K272" t="s">
        <v>100</v>
      </c>
      <c r="L272" s="1" t="s">
        <v>1032</v>
      </c>
      <c r="M272" s="7" t="str">
        <f>IF(K272="收_客户",INDEX(客户信息维护!C:C,MATCH(银行日记账登记!L272,客户信息维护!B:B,0)),IF(K272="支_供应商",INDEX(供应商信息维护!C:C,MATCH(银行日记账登记!L272,供应商信息维护!B:B,0)),""))</f>
        <v>GRAN BAZAR FAMILIA S.L</v>
      </c>
      <c r="N272" t="s">
        <v>1035</v>
      </c>
      <c r="Q272" t="s">
        <v>79</v>
      </c>
      <c r="R272" t="s">
        <v>1045</v>
      </c>
    </row>
    <row r="273" spans="2:18" hidden="1" x14ac:dyDescent="0.25">
      <c r="B273" t="s">
        <v>55</v>
      </c>
      <c r="C273" t="s">
        <v>63</v>
      </c>
      <c r="I273">
        <v>1350</v>
      </c>
      <c r="J273" s="10">
        <v>45163</v>
      </c>
      <c r="K273" t="s">
        <v>100</v>
      </c>
      <c r="L273" s="1" t="s">
        <v>1036</v>
      </c>
      <c r="M273" s="7" t="str">
        <f>IF(K273="收_客户",INDEX(客户信息维护!C:C,MATCH(银行日记账登记!L273,客户信息维护!B:B,0)),IF(K273="支_供应商",INDEX(供应商信息维护!C:C,MATCH(银行日记账登记!L273,供应商信息维护!B:B,0)),""))</f>
        <v>EURO COMPLEMENTOS ASIA S.L</v>
      </c>
      <c r="N273" t="s">
        <v>1038</v>
      </c>
      <c r="Q273" t="s">
        <v>79</v>
      </c>
      <c r="R273" t="s">
        <v>1046</v>
      </c>
    </row>
    <row r="274" spans="2:18" hidden="1" x14ac:dyDescent="0.25">
      <c r="B274" t="s">
        <v>55</v>
      </c>
      <c r="C274" t="s">
        <v>63</v>
      </c>
      <c r="I274">
        <v>635.4</v>
      </c>
      <c r="J274" s="10">
        <v>45163</v>
      </c>
      <c r="K274" t="s">
        <v>100</v>
      </c>
      <c r="L274" s="1" t="s">
        <v>1036</v>
      </c>
      <c r="M274" s="7" t="str">
        <f>IF(K274="收_客户",INDEX(客户信息维护!C:C,MATCH(银行日记账登记!L274,客户信息维护!B:B,0)),IF(K274="支_供应商",INDEX(供应商信息维护!C:C,MATCH(银行日记账登记!L274,供应商信息维护!B:B,0)),""))</f>
        <v>EURO COMPLEMENTOS ASIA S.L</v>
      </c>
      <c r="N274" t="s">
        <v>1039</v>
      </c>
      <c r="Q274" t="s">
        <v>79</v>
      </c>
      <c r="R274" t="s">
        <v>1047</v>
      </c>
    </row>
    <row r="275" spans="2:18" hidden="1" x14ac:dyDescent="0.25">
      <c r="B275" t="s">
        <v>55</v>
      </c>
      <c r="C275" t="s">
        <v>63</v>
      </c>
      <c r="I275">
        <v>5058.6000000000004</v>
      </c>
      <c r="J275" s="10">
        <v>45163</v>
      </c>
      <c r="K275" t="s">
        <v>100</v>
      </c>
      <c r="L275" s="1" t="s">
        <v>1036</v>
      </c>
      <c r="M275" s="7" t="str">
        <f>IF(K275="收_客户",INDEX(客户信息维护!C:C,MATCH(银行日记账登记!L275,客户信息维护!B:B,0)),IF(K275="支_供应商",INDEX(供应商信息维护!C:C,MATCH(银行日记账登记!L275,供应商信息维护!B:B,0)),""))</f>
        <v>EURO COMPLEMENTOS ASIA S.L</v>
      </c>
      <c r="N275" t="s">
        <v>1040</v>
      </c>
      <c r="Q275" t="s">
        <v>79</v>
      </c>
      <c r="R275" t="s">
        <v>1048</v>
      </c>
    </row>
    <row r="276" spans="2:18" hidden="1" x14ac:dyDescent="0.25">
      <c r="B276" t="s">
        <v>55</v>
      </c>
      <c r="C276" t="s">
        <v>63</v>
      </c>
      <c r="I276">
        <v>497.58</v>
      </c>
      <c r="J276" s="10">
        <v>45163</v>
      </c>
      <c r="K276" t="s">
        <v>100</v>
      </c>
      <c r="L276" s="1" t="s">
        <v>1041</v>
      </c>
      <c r="M276" s="7" t="str">
        <f>IF(K276="收_客户",INDEX(客户信息维护!C:C,MATCH(银行日记账登记!L276,客户信息维护!B:B,0)),IF(K276="支_供应商",INDEX(供应商信息维护!C:C,MATCH(银行日记账登记!L276,供应商信息维护!B:B,0)),""))</f>
        <v>ALIMENTACION Y BEBIDAS LIMIN S.L</v>
      </c>
      <c r="N276" t="s">
        <v>1043</v>
      </c>
      <c r="Q276" t="s">
        <v>79</v>
      </c>
      <c r="R276" t="s">
        <v>1049</v>
      </c>
    </row>
    <row r="277" spans="2:18" hidden="1" x14ac:dyDescent="0.25">
      <c r="B277" t="s">
        <v>56</v>
      </c>
      <c r="C277" t="s">
        <v>127</v>
      </c>
      <c r="I277">
        <v>997.5</v>
      </c>
      <c r="J277" s="10">
        <v>45163</v>
      </c>
      <c r="K277" t="s">
        <v>100</v>
      </c>
      <c r="L277" s="1" t="s">
        <v>1050</v>
      </c>
      <c r="M277" s="7" t="str">
        <f>IF(K277="收_客户",INDEX(客户信息维护!C:C,MATCH(银行日记账登记!L277,客户信息维护!B:B,0)),IF(K277="支_供应商",INDEX(供应商信息维护!C:C,MATCH(银行日记账登记!L277,供应商信息维护!B:B,0)),""))</f>
        <v>BAZAR CARRALERO S.L</v>
      </c>
      <c r="N277" t="s">
        <v>1052</v>
      </c>
      <c r="Q277" t="s">
        <v>79</v>
      </c>
      <c r="R277" t="s">
        <v>1053</v>
      </c>
    </row>
    <row r="278" spans="2:18" hidden="1" x14ac:dyDescent="0.25">
      <c r="B278" t="s">
        <v>56</v>
      </c>
      <c r="C278" t="s">
        <v>127</v>
      </c>
      <c r="H278" s="42"/>
      <c r="I278">
        <v>584.75</v>
      </c>
      <c r="J278" s="10">
        <v>45164</v>
      </c>
      <c r="K278" t="s">
        <v>100</v>
      </c>
      <c r="L278" s="1" t="s">
        <v>1054</v>
      </c>
      <c r="M278" s="7" t="str">
        <f>IF(K278="收_客户",INDEX(客户信息维护!C:C,MATCH(银行日记账登记!L278,客户信息维护!B:B,0)),IF(K278="支_供应商",INDEX(供应商信息维护!C:C,MATCH(银行日记账登记!L278,供应商信息维护!B:B,0)),""))</f>
        <v>ZHENQIAO XU</v>
      </c>
      <c r="N278" t="s">
        <v>1056</v>
      </c>
      <c r="P278" t="s">
        <v>533</v>
      </c>
      <c r="Q278" t="s">
        <v>79</v>
      </c>
      <c r="R278" t="s">
        <v>1057</v>
      </c>
    </row>
    <row r="279" spans="2:18" hidden="1" x14ac:dyDescent="0.25">
      <c r="B279" t="s">
        <v>56</v>
      </c>
      <c r="C279" t="s">
        <v>127</v>
      </c>
      <c r="I279">
        <v>1583.95</v>
      </c>
      <c r="J279" s="10">
        <v>45166</v>
      </c>
      <c r="K279" t="s">
        <v>100</v>
      </c>
      <c r="L279" s="1" t="s">
        <v>1058</v>
      </c>
      <c r="M279" s="7" t="str">
        <f>IF(K279="收_客户",INDEX(客户信息维护!C:C,MATCH(银行日记账登记!L279,客户信息维护!B:B,0)),IF(K279="支_供应商",INDEX(供应商信息维护!C:C,MATCH(银行日记账登记!L279,供应商信息维护!B:B,0)),""))</f>
        <v>YUN LAI FU S.L.</v>
      </c>
      <c r="N279" t="s">
        <v>1060</v>
      </c>
      <c r="Q279" t="s">
        <v>79</v>
      </c>
      <c r="R279" t="s">
        <v>1061</v>
      </c>
    </row>
    <row r="280" spans="2:18" hidden="1" x14ac:dyDescent="0.25">
      <c r="B280" t="s">
        <v>56</v>
      </c>
      <c r="C280" t="s">
        <v>127</v>
      </c>
      <c r="I280">
        <v>1176.7</v>
      </c>
      <c r="J280" s="10">
        <v>45166</v>
      </c>
      <c r="K280" t="s">
        <v>100</v>
      </c>
      <c r="L280" s="1" t="s">
        <v>713</v>
      </c>
      <c r="M280" s="7" t="str">
        <f>IF(K280="收_客户",INDEX(客户信息维护!C:C,MATCH(银行日记账登记!L280,客户信息维护!B:B,0)),IF(K280="支_供应商",INDEX(供应商信息维护!C:C,MATCH(银行日记账登记!L280,供应商信息维护!B:B,0)),""))</f>
        <v>MEGABAZAR ARROYO S.L</v>
      </c>
      <c r="N280" t="s">
        <v>1062</v>
      </c>
      <c r="Q280" t="s">
        <v>79</v>
      </c>
      <c r="R280" t="s">
        <v>1069</v>
      </c>
    </row>
    <row r="281" spans="2:18" hidden="1" x14ac:dyDescent="0.25">
      <c r="B281" t="s">
        <v>56</v>
      </c>
      <c r="C281" t="s">
        <v>127</v>
      </c>
      <c r="I281">
        <v>788.88</v>
      </c>
      <c r="J281" s="10">
        <v>45167</v>
      </c>
      <c r="K281" t="s">
        <v>100</v>
      </c>
      <c r="L281" s="1" t="s">
        <v>1063</v>
      </c>
      <c r="M281" s="7" t="str">
        <f>IF(K281="收_客户",INDEX(客户信息维护!C:C,MATCH(银行日记账登记!L281,客户信息维护!B:B,0)),IF(K281="支_供应商",INDEX(供应商信息维护!C:C,MATCH(银行日记账登记!L281,供应商信息维护!B:B,0)),""))</f>
        <v>DAYONG CHEN</v>
      </c>
      <c r="N281" t="s">
        <v>1065</v>
      </c>
      <c r="Q281" t="s">
        <v>79</v>
      </c>
      <c r="R281" t="s">
        <v>1070</v>
      </c>
    </row>
    <row r="282" spans="2:18" hidden="1" x14ac:dyDescent="0.25">
      <c r="B282" t="s">
        <v>56</v>
      </c>
      <c r="C282" t="s">
        <v>127</v>
      </c>
      <c r="I282">
        <v>449.37</v>
      </c>
      <c r="J282" s="10">
        <v>45167</v>
      </c>
      <c r="K282" t="s">
        <v>100</v>
      </c>
      <c r="L282" s="1" t="s">
        <v>1066</v>
      </c>
      <c r="M282" s="7" t="str">
        <f>IF(K282="收_客户",INDEX(客户信息维护!C:C,MATCH(银行日记账登记!L282,客户信息维护!B:B,0)),IF(K282="支_供应商",INDEX(供应商信息维护!C:C,MATCH(银行日记账登记!L282,供应商信息维护!B:B,0)),""))</f>
        <v>JUNJUN JIN</v>
      </c>
      <c r="N282" t="s">
        <v>1068</v>
      </c>
      <c r="Q282" t="s">
        <v>79</v>
      </c>
      <c r="R282" t="s">
        <v>1071</v>
      </c>
    </row>
    <row r="283" spans="2:18" hidden="1" x14ac:dyDescent="0.25">
      <c r="B283" t="s">
        <v>55</v>
      </c>
      <c r="C283" t="s">
        <v>63</v>
      </c>
      <c r="I283">
        <v>1631.45</v>
      </c>
      <c r="J283" s="10">
        <v>45166</v>
      </c>
      <c r="K283" t="s">
        <v>100</v>
      </c>
      <c r="L283" s="1" t="s">
        <v>1072</v>
      </c>
      <c r="M283" s="7" t="str">
        <f>IF(K283="收_客户",INDEX(客户信息维护!C:C,MATCH(银行日记账登记!L283,客户信息维护!B:B,0)),IF(K283="支_供应商",INDEX(供应商信息维护!C:C,MATCH(银行日记账登记!L283,供应商信息维护!B:B,0)),""))</f>
        <v>DULCE HOGAR GALICIA S.L</v>
      </c>
      <c r="N283" t="s">
        <v>1074</v>
      </c>
      <c r="P283" t="s">
        <v>303</v>
      </c>
      <c r="Q283" t="s">
        <v>79</v>
      </c>
      <c r="R283" t="s">
        <v>1079</v>
      </c>
    </row>
    <row r="284" spans="2:18" hidden="1" x14ac:dyDescent="0.25">
      <c r="B284" t="s">
        <v>55</v>
      </c>
      <c r="C284" t="s">
        <v>63</v>
      </c>
      <c r="I284">
        <v>700</v>
      </c>
      <c r="J284" s="10">
        <v>45166</v>
      </c>
      <c r="K284" t="s">
        <v>100</v>
      </c>
      <c r="L284" s="1" t="s">
        <v>1075</v>
      </c>
      <c r="M284" s="7" t="str">
        <f>IF(K284="收_客户",INDEX(客户信息维护!C:C,MATCH(银行日记账登记!L284,客户信息维护!B:B,0)),IF(K284="支_供应商",INDEX(供应商信息维护!C:C,MATCH(银行日记账登记!L284,供应商信息维护!B:B,0)),""))</f>
        <v>BAZAR MIRACAMPO S.L</v>
      </c>
      <c r="N284" t="s">
        <v>1077</v>
      </c>
      <c r="P284" t="s">
        <v>303</v>
      </c>
      <c r="Q284" t="s">
        <v>79</v>
      </c>
      <c r="R284" t="s">
        <v>1080</v>
      </c>
    </row>
    <row r="285" spans="2:18" hidden="1" x14ac:dyDescent="0.25">
      <c r="B285" t="s">
        <v>55</v>
      </c>
      <c r="C285" t="s">
        <v>63</v>
      </c>
      <c r="I285">
        <v>448.1</v>
      </c>
      <c r="J285" s="10">
        <v>45166</v>
      </c>
      <c r="K285" t="s">
        <v>100</v>
      </c>
      <c r="L285" s="1" t="s">
        <v>411</v>
      </c>
      <c r="M285" s="7" t="str">
        <f>IF(K285="收_客户",INDEX(客户信息维护!C:C,MATCH(银行日记账登记!L285,客户信息维护!B:B,0)),IF(K285="支_供应商",INDEX(供应商信息维护!C:C,MATCH(银行日记账登记!L285,供应商信息维护!B:B,0)),""))</f>
        <v>LINGWEI ZHANG</v>
      </c>
      <c r="N285" t="s">
        <v>1078</v>
      </c>
      <c r="Q285" t="s">
        <v>79</v>
      </c>
      <c r="R285" t="s">
        <v>1081</v>
      </c>
    </row>
    <row r="286" spans="2:18" hidden="1" x14ac:dyDescent="0.25">
      <c r="B286" t="s">
        <v>60</v>
      </c>
      <c r="C286" t="s">
        <v>66</v>
      </c>
      <c r="I286">
        <v>1532.48</v>
      </c>
      <c r="J286" s="10">
        <v>45166</v>
      </c>
      <c r="K286" t="s">
        <v>100</v>
      </c>
      <c r="L286" s="16" t="s">
        <v>1082</v>
      </c>
      <c r="M286" s="7" t="str">
        <f>IF(K286="收_客户",INDEX(客户信息维护!C:C,MATCH(银行日记账登记!L286,客户信息维护!B:B,0)),IF(K286="支_供应商",INDEX(供应商信息维护!C:C,MATCH(银行日记账登记!L286,供应商信息维护!B:B,0)),""))</f>
        <v>CASA SHAO LDA 徐新春</v>
      </c>
      <c r="N286" t="s">
        <v>1084</v>
      </c>
      <c r="Q286" t="s">
        <v>79</v>
      </c>
      <c r="R286" t="s">
        <v>1085</v>
      </c>
    </row>
    <row r="287" spans="2:18" hidden="1" x14ac:dyDescent="0.25">
      <c r="B287" t="s">
        <v>60</v>
      </c>
      <c r="C287" t="s">
        <v>350</v>
      </c>
      <c r="I287">
        <v>1808.16</v>
      </c>
      <c r="J287" s="10">
        <v>45166</v>
      </c>
      <c r="K287" t="s">
        <v>100</v>
      </c>
      <c r="L287" s="16" t="s">
        <v>1086</v>
      </c>
      <c r="M287" s="7" t="str">
        <f>IF(K287="收_客户",INDEX(客户信息维护!C:C,MATCH(银行日记账登记!L287,客户信息维护!B:B,0)),IF(K287="支_供应商",INDEX(供应商信息维护!C:C,MATCH(银行日记账登记!L287,供应商信息维护!B:B,0)),""))</f>
        <v>WEI WEI ZHOU 周薇薇</v>
      </c>
      <c r="N287" t="s">
        <v>1088</v>
      </c>
      <c r="Q287" t="s">
        <v>79</v>
      </c>
      <c r="R287" t="s">
        <v>1089</v>
      </c>
    </row>
    <row r="288" spans="2:18" hidden="1" x14ac:dyDescent="0.25">
      <c r="B288" t="s">
        <v>56</v>
      </c>
      <c r="C288" t="s">
        <v>127</v>
      </c>
      <c r="I288">
        <v>746.13</v>
      </c>
      <c r="J288" s="10">
        <v>45167</v>
      </c>
      <c r="K288" t="s">
        <v>100</v>
      </c>
      <c r="L288" s="1" t="s">
        <v>567</v>
      </c>
      <c r="M288" s="7" t="str">
        <f>IF(K288="收_客户",INDEX(客户信息维护!C:C,MATCH(银行日记账登记!L288,客户信息维护!B:B,0)),IF(K288="支_供应商",INDEX(供应商信息维护!C:C,MATCH(银行日记账登记!L288,供应商信息维护!B:B,0)),""))</f>
        <v>ASIAN GARDEN SECRET S.L</v>
      </c>
      <c r="N288" t="s">
        <v>1090</v>
      </c>
      <c r="Q288" t="s">
        <v>79</v>
      </c>
      <c r="R288" t="s">
        <v>1091</v>
      </c>
    </row>
    <row r="289" spans="2:18" hidden="1" x14ac:dyDescent="0.25">
      <c r="B289" t="s">
        <v>55</v>
      </c>
      <c r="C289" t="s">
        <v>63</v>
      </c>
      <c r="I289">
        <v>3982.03</v>
      </c>
      <c r="J289" s="10">
        <v>45167</v>
      </c>
      <c r="K289" t="s">
        <v>100</v>
      </c>
      <c r="L289" s="1" t="s">
        <v>1092</v>
      </c>
      <c r="M289" s="7" t="str">
        <f>IF(K289="收_客户",INDEX(客户信息维护!C:C,MATCH(银行日记账登记!L289,客户信息维护!B:B,0)),IF(K289="支_供应商",INDEX(供应商信息维护!C:C,MATCH(银行日记账登记!L289,供应商信息维护!B:B,0)),""))</f>
        <v>HONG DA CHINA S.L  马拉加宏达</v>
      </c>
      <c r="N289" t="s">
        <v>1094</v>
      </c>
      <c r="P289" t="s">
        <v>303</v>
      </c>
      <c r="Q289" t="s">
        <v>79</v>
      </c>
      <c r="R289" t="s">
        <v>1095</v>
      </c>
    </row>
    <row r="290" spans="2:18" hidden="1" x14ac:dyDescent="0.25">
      <c r="B290" t="s">
        <v>56</v>
      </c>
      <c r="C290" t="s">
        <v>127</v>
      </c>
      <c r="I290">
        <v>797.22</v>
      </c>
      <c r="J290" s="10">
        <v>45168</v>
      </c>
      <c r="K290" t="s">
        <v>100</v>
      </c>
      <c r="L290" s="1" t="s">
        <v>1096</v>
      </c>
      <c r="M290" s="7" t="str">
        <f>IF(K290="收_客户",INDEX(客户信息维护!C:C,MATCH(银行日记账登记!L290,客户信息维护!B:B,0)),IF(K290="支_供应商",INDEX(供应商信息维护!C:C,MATCH(银行日记账登记!L290,供应商信息维护!B:B,0)),""))</f>
        <v>BAZAR ESPERANZA 2022 S.L</v>
      </c>
      <c r="N290" t="s">
        <v>1098</v>
      </c>
      <c r="Q290" t="s">
        <v>79</v>
      </c>
      <c r="R290" t="s">
        <v>1099</v>
      </c>
    </row>
    <row r="291" spans="2:18" hidden="1" x14ac:dyDescent="0.25">
      <c r="B291" t="s">
        <v>56</v>
      </c>
      <c r="C291" t="s">
        <v>127</v>
      </c>
      <c r="I291">
        <v>469.24</v>
      </c>
      <c r="J291" s="10">
        <v>45169</v>
      </c>
      <c r="K291" t="s">
        <v>100</v>
      </c>
      <c r="L291" s="1" t="s">
        <v>1100</v>
      </c>
      <c r="M291" s="7" t="str">
        <f>IF(K291="收_客户",INDEX(客户信息维护!C:C,MATCH(银行日记账登记!L291,客户信息维护!B:B,0)),IF(K291="支_供应商",INDEX(供应商信息维护!C:C,MATCH(银行日记账登记!L291,供应商信息维护!B:B,0)),""))</f>
        <v>HUIQIONG PAN</v>
      </c>
      <c r="N291" t="s">
        <v>1102</v>
      </c>
      <c r="Q291" t="s">
        <v>79</v>
      </c>
      <c r="R291" t="s">
        <v>1103</v>
      </c>
    </row>
    <row r="292" spans="2:18" hidden="1" x14ac:dyDescent="0.25">
      <c r="B292" t="s">
        <v>55</v>
      </c>
      <c r="C292" t="s">
        <v>63</v>
      </c>
      <c r="I292">
        <v>244.96</v>
      </c>
      <c r="J292" s="10">
        <v>45168</v>
      </c>
      <c r="K292" t="s">
        <v>100</v>
      </c>
      <c r="L292" s="1" t="s">
        <v>1104</v>
      </c>
      <c r="M292" s="7" t="str">
        <f>IF(K292="收_客户",INDEX(客户信息维护!C:C,MATCH(银行日记账登记!L292,客户信息维护!B:B,0)),IF(K292="支_供应商",INDEX(供应商信息维护!C:C,MATCH(银行日记账登记!L292,供应商信息维护!B:B,0)),""))</f>
        <v>YANG WENHUA S.L</v>
      </c>
      <c r="N292" t="s">
        <v>1106</v>
      </c>
      <c r="Q292" t="s">
        <v>79</v>
      </c>
      <c r="R292" t="s">
        <v>1121</v>
      </c>
    </row>
    <row r="293" spans="2:18" hidden="1" x14ac:dyDescent="0.25">
      <c r="B293" t="s">
        <v>60</v>
      </c>
      <c r="C293" t="s">
        <v>66</v>
      </c>
      <c r="I293">
        <v>1741.71</v>
      </c>
      <c r="J293" s="10">
        <v>45168</v>
      </c>
      <c r="K293" t="s">
        <v>100</v>
      </c>
      <c r="L293" s="16" t="s">
        <v>1107</v>
      </c>
      <c r="M293" s="7" t="str">
        <f>IF(K293="收_客户",INDEX(客户信息维护!C:C,MATCH(银行日记账登记!L293,客户信息维护!B:B,0)),IF(K293="支_供应商",INDEX(供应商信息维护!C:C,MATCH(银行日记账登记!L293,供应商信息维护!B:B,0)),""))</f>
        <v>FANTASYPUZZLE IMP E EXO UNIPESSOAL LDA 张炳勇</v>
      </c>
      <c r="N293" t="s">
        <v>1109</v>
      </c>
      <c r="Q293" t="s">
        <v>79</v>
      </c>
      <c r="R293" t="s">
        <v>1113</v>
      </c>
    </row>
    <row r="294" spans="2:18" hidden="1" x14ac:dyDescent="0.25">
      <c r="B294" t="s">
        <v>60</v>
      </c>
      <c r="C294" t="s">
        <v>66</v>
      </c>
      <c r="I294">
        <v>1008.54</v>
      </c>
      <c r="J294" s="10">
        <v>45168</v>
      </c>
      <c r="K294" t="s">
        <v>100</v>
      </c>
      <c r="L294" s="16" t="s">
        <v>1110</v>
      </c>
      <c r="M294" s="7" t="str">
        <f>IF(K294="收_客户",INDEX(客户信息维护!C:C,MATCH(银行日记账登记!L294,客户信息维护!B:B,0)),IF(K294="支_供应商",INDEX(供应商信息维护!C:C,MATCH(银行日记账登记!L294,供应商信息维护!B:B,0)),""))</f>
        <v>QIMENG HUANG 黄其猛</v>
      </c>
      <c r="N294" t="s">
        <v>1112</v>
      </c>
      <c r="Q294" t="s">
        <v>79</v>
      </c>
      <c r="R294" t="s">
        <v>1114</v>
      </c>
    </row>
    <row r="295" spans="2:18" hidden="1" x14ac:dyDescent="0.25">
      <c r="B295" t="s">
        <v>55</v>
      </c>
      <c r="C295" t="s">
        <v>63</v>
      </c>
      <c r="I295">
        <v>1070.48</v>
      </c>
      <c r="J295" s="10">
        <v>45169</v>
      </c>
      <c r="K295" t="s">
        <v>100</v>
      </c>
      <c r="L295" s="1" t="s">
        <v>1115</v>
      </c>
      <c r="M295" s="7" t="str">
        <f>IF(K295="收_客户",INDEX(客户信息维护!C:C,MATCH(银行日记账登记!L295,客户信息维护!B:B,0)),IF(K295="支_供应商",INDEX(供应商信息维护!C:C,MATCH(银行日记账登记!L295,供应商信息维护!B:B,0)),""))</f>
        <v>JANS COCO S.L</v>
      </c>
      <c r="N295" t="s">
        <v>1117</v>
      </c>
      <c r="Q295" t="s">
        <v>79</v>
      </c>
      <c r="R295" t="s">
        <v>1122</v>
      </c>
    </row>
    <row r="296" spans="2:18" hidden="1" x14ac:dyDescent="0.25">
      <c r="B296" t="s">
        <v>55</v>
      </c>
      <c r="C296" t="s">
        <v>63</v>
      </c>
      <c r="I296">
        <v>800.79</v>
      </c>
      <c r="J296" s="10">
        <v>45169</v>
      </c>
      <c r="K296" t="s">
        <v>100</v>
      </c>
      <c r="L296" s="1" t="s">
        <v>1118</v>
      </c>
      <c r="M296" s="7" t="str">
        <f>IF(K296="收_客户",INDEX(客户信息维护!C:C,MATCH(银行日记账登记!L296,客户信息维护!B:B,0)),IF(K296="支_供应商",INDEX(供应商信息维护!C:C,MATCH(银行日记账登记!L296,供应商信息维护!B:B,0)),""))</f>
        <v>BAZAR SANBLAS S.L</v>
      </c>
      <c r="N296" t="s">
        <v>1120</v>
      </c>
      <c r="Q296" t="s">
        <v>79</v>
      </c>
      <c r="R296" t="s">
        <v>1123</v>
      </c>
    </row>
    <row r="297" spans="2:18" hidden="1" x14ac:dyDescent="0.25">
      <c r="B297" t="s">
        <v>55</v>
      </c>
      <c r="C297" t="s">
        <v>63</v>
      </c>
      <c r="I297">
        <v>923.93</v>
      </c>
      <c r="J297" s="10">
        <v>45169</v>
      </c>
      <c r="K297" t="s">
        <v>100</v>
      </c>
      <c r="L297" s="1" t="s">
        <v>1124</v>
      </c>
      <c r="M297" s="7" t="str">
        <f>IF(K297="收_客户",INDEX(客户信息维护!C:C,MATCH(银行日记账登记!L297,客户信息维护!B:B,0)),IF(K297="支_供应商",INDEX(供应商信息维护!C:C,MATCH(银行日记账登记!L297,供应商信息维护!B:B,0)),""))</f>
        <v>PROXIM YES S.L</v>
      </c>
      <c r="N297" t="s">
        <v>1126</v>
      </c>
      <c r="Q297" t="s">
        <v>79</v>
      </c>
      <c r="R297" t="s">
        <v>1127</v>
      </c>
    </row>
    <row r="298" spans="2:18" hidden="1" x14ac:dyDescent="0.25">
      <c r="B298" t="s">
        <v>56</v>
      </c>
      <c r="C298" t="s">
        <v>127</v>
      </c>
      <c r="I298">
        <v>369.74</v>
      </c>
      <c r="J298" s="10">
        <v>45169</v>
      </c>
      <c r="K298" t="s">
        <v>100</v>
      </c>
      <c r="L298" s="1" t="s">
        <v>1128</v>
      </c>
      <c r="M298" s="7" t="str">
        <f>IF(K298="收_客户",INDEX(客户信息维护!C:C,MATCH(银行日记账登记!L298,客户信息维护!B:B,0)),IF(K298="支_供应商",INDEX(供应商信息维护!C:C,MATCH(银行日记账登记!L298,供应商信息维护!B:B,0)),""))</f>
        <v>GRAN MEDINA S.L</v>
      </c>
      <c r="N298" t="s">
        <v>1130</v>
      </c>
      <c r="Q298" t="s">
        <v>79</v>
      </c>
      <c r="R298" t="s">
        <v>1131</v>
      </c>
    </row>
    <row r="299" spans="2:18" hidden="1" x14ac:dyDescent="0.25">
      <c r="B299" t="s">
        <v>55</v>
      </c>
      <c r="C299" t="s">
        <v>63</v>
      </c>
      <c r="I299">
        <v>9</v>
      </c>
      <c r="J299" s="10">
        <v>45169</v>
      </c>
      <c r="K299" t="s">
        <v>100</v>
      </c>
      <c r="L299" s="1" t="s">
        <v>1124</v>
      </c>
      <c r="M299" s="7" t="str">
        <f>IF(K299="收_客户",INDEX(客户信息维护!C:C,MATCH(银行日记账登记!L299,客户信息维护!B:B,0)),IF(K299="支_供应商",INDEX(供应商信息维护!C:C,MATCH(银行日记账登记!L299,供应商信息维护!B:B,0)),""))</f>
        <v>PROXIM YES S.L</v>
      </c>
      <c r="N299" t="s">
        <v>1132</v>
      </c>
      <c r="Q299" t="s">
        <v>79</v>
      </c>
      <c r="R299" t="s">
        <v>1133</v>
      </c>
    </row>
    <row r="300" spans="2:18" hidden="1" x14ac:dyDescent="0.25">
      <c r="B300" t="s">
        <v>56</v>
      </c>
      <c r="C300" t="s">
        <v>127</v>
      </c>
      <c r="I300">
        <v>598.85</v>
      </c>
      <c r="J300" s="10">
        <v>45170</v>
      </c>
      <c r="K300" t="s">
        <v>100</v>
      </c>
      <c r="L300" s="1" t="s">
        <v>1134</v>
      </c>
      <c r="M300" s="7" t="str">
        <f>IF(K300="收_客户",INDEX(客户信息维护!C:C,MATCH(银行日记账登记!L300,客户信息维护!B:B,0)),IF(K300="支_供应商",INDEX(供应商信息维护!C:C,MATCH(银行日记账登记!L300,供应商信息维护!B:B,0)),""))</f>
        <v>XUANKAI SHAN</v>
      </c>
      <c r="N300" t="s">
        <v>1136</v>
      </c>
      <c r="Q300" t="s">
        <v>79</v>
      </c>
      <c r="R300" t="s">
        <v>1140</v>
      </c>
    </row>
    <row r="301" spans="2:18" hidden="1" x14ac:dyDescent="0.25">
      <c r="B301" t="s">
        <v>56</v>
      </c>
      <c r="C301" t="s">
        <v>127</v>
      </c>
      <c r="I301">
        <v>444.37</v>
      </c>
      <c r="J301" s="10">
        <v>45170</v>
      </c>
      <c r="K301" t="s">
        <v>100</v>
      </c>
      <c r="L301" s="1" t="s">
        <v>1137</v>
      </c>
      <c r="M301" s="7" t="str">
        <f>IF(K301="收_客户",INDEX(客户信息维护!C:C,MATCH(银行日记账登记!L301,客户信息维护!B:B,0)),IF(K301="支_供应商",INDEX(供应商信息维护!C:C,MATCH(银行日记账登记!L301,供应商信息维护!B:B,0)),""))</f>
        <v>XINRU LI</v>
      </c>
      <c r="N301" t="s">
        <v>1139</v>
      </c>
      <c r="Q301" t="s">
        <v>79</v>
      </c>
      <c r="R301" t="s">
        <v>1141</v>
      </c>
    </row>
    <row r="302" spans="2:18" hidden="1" x14ac:dyDescent="0.25">
      <c r="B302" t="s">
        <v>60</v>
      </c>
      <c r="C302" t="s">
        <v>66</v>
      </c>
      <c r="I302">
        <v>1538.27</v>
      </c>
      <c r="J302" s="10">
        <v>45170</v>
      </c>
      <c r="K302" t="s">
        <v>100</v>
      </c>
      <c r="L302" s="16" t="s">
        <v>345</v>
      </c>
      <c r="M302" s="7" t="str">
        <f>IF(K302="收_客户",INDEX(客户信息维护!C:C,MATCH(银行日记账登记!L302,客户信息维护!B:B,0)),IF(K302="支_供应商",INDEX(供应商信息维护!C:C,MATCH(银行日记账登记!L302,供应商信息维护!B:B,0)),""))</f>
        <v>FABULAS &amp; DEUSES UNIPESSOAL LDA 叶利双</v>
      </c>
      <c r="N302" t="s">
        <v>1142</v>
      </c>
      <c r="Q302" t="s">
        <v>79</v>
      </c>
      <c r="R302" t="s">
        <v>1147</v>
      </c>
    </row>
    <row r="303" spans="2:18" hidden="1" x14ac:dyDescent="0.25">
      <c r="B303" t="s">
        <v>60</v>
      </c>
      <c r="C303" t="s">
        <v>66</v>
      </c>
      <c r="I303">
        <v>1062.02</v>
      </c>
      <c r="J303" s="10">
        <v>45170</v>
      </c>
      <c r="K303" t="s">
        <v>100</v>
      </c>
      <c r="L303" s="16" t="s">
        <v>194</v>
      </c>
      <c r="M303" s="7" t="str">
        <f>IF(K303="收_客户",INDEX(客户信息维护!C:C,MATCH(银行日记账登记!L303,客户信息维护!B:B,0)),IF(K303="支_供应商",INDEX(供应商信息维护!C:C,MATCH(银行日记账登记!L303,供应商信息维护!B:B,0)),""))</f>
        <v>AURORA CELESTIAL UNIPESSOAL LDA 徐正益</v>
      </c>
      <c r="N303" t="s">
        <v>1143</v>
      </c>
      <c r="Q303" t="s">
        <v>79</v>
      </c>
      <c r="R303" t="s">
        <v>1148</v>
      </c>
    </row>
    <row r="304" spans="2:18" hidden="1" x14ac:dyDescent="0.25">
      <c r="B304" t="s">
        <v>60</v>
      </c>
      <c r="C304" t="s">
        <v>66</v>
      </c>
      <c r="I304">
        <v>2668.55</v>
      </c>
      <c r="J304" s="10">
        <v>45170</v>
      </c>
      <c r="K304" t="s">
        <v>100</v>
      </c>
      <c r="L304" s="16" t="s">
        <v>1144</v>
      </c>
      <c r="M304" s="7" t="str">
        <f>IF(K304="收_客户",INDEX(客户信息维护!C:C,MATCH(银行日记账登记!L304,客户信息维护!B:B,0)),IF(K304="支_供应商",INDEX(供应商信息维护!C:C,MATCH(银行日记账登记!L304,供应商信息维护!B:B,0)),""))</f>
        <v>OK GUO - COMERCIO A RETALHO DE PRODUTOS PARA O LAR, UNIPESSOAL, LDA 郭汉荣</v>
      </c>
      <c r="N304" t="s">
        <v>1146</v>
      </c>
      <c r="Q304" t="s">
        <v>79</v>
      </c>
      <c r="R304" t="s">
        <v>1149</v>
      </c>
    </row>
    <row r="305" spans="2:18" hidden="1" x14ac:dyDescent="0.25">
      <c r="B305" t="s">
        <v>56</v>
      </c>
      <c r="C305" t="s">
        <v>127</v>
      </c>
      <c r="I305">
        <v>261.2</v>
      </c>
      <c r="J305" s="10">
        <v>45171</v>
      </c>
      <c r="K305" t="s">
        <v>100</v>
      </c>
      <c r="L305" s="1" t="s">
        <v>473</v>
      </c>
      <c r="M305" s="7" t="str">
        <f>IF(K305="收_客户",INDEX(客户信息维护!C:C,MATCH(银行日记账登记!L305,客户信息维护!B:B,0)),IF(K305="支_供应商",INDEX(供应商信息维护!C:C,MATCH(银行日记账登记!L305,供应商信息维护!B:B,0)),""))</f>
        <v>YUDING HU</v>
      </c>
      <c r="N305" t="s">
        <v>1150</v>
      </c>
      <c r="P305" t="s">
        <v>533</v>
      </c>
      <c r="Q305" t="s">
        <v>79</v>
      </c>
      <c r="R305" t="s">
        <v>1157</v>
      </c>
    </row>
    <row r="306" spans="2:18" hidden="1" x14ac:dyDescent="0.25">
      <c r="B306" t="s">
        <v>56</v>
      </c>
      <c r="C306" t="s">
        <v>127</v>
      </c>
      <c r="I306">
        <v>657.2</v>
      </c>
      <c r="J306" s="10">
        <v>45171</v>
      </c>
      <c r="K306" t="s">
        <v>100</v>
      </c>
      <c r="L306" s="1" t="s">
        <v>1151</v>
      </c>
      <c r="M306" s="7" t="str">
        <f>IF(K306="收_客户",INDEX(客户信息维护!C:C,MATCH(银行日记账登记!L306,客户信息维护!B:B,0)),IF(K306="支_供应商",INDEX(供应商信息维护!C:C,MATCH(银行日记账登记!L306,供应商信息维护!B:B,0)),""))</f>
        <v>XINXIN SHANGCHANG S.L</v>
      </c>
      <c r="N306" t="s">
        <v>1153</v>
      </c>
      <c r="Q306" t="s">
        <v>79</v>
      </c>
      <c r="R306" t="s">
        <v>1158</v>
      </c>
    </row>
    <row r="307" spans="2:18" hidden="1" x14ac:dyDescent="0.25">
      <c r="B307" t="s">
        <v>56</v>
      </c>
      <c r="C307" t="s">
        <v>127</v>
      </c>
      <c r="I307">
        <v>2036.95</v>
      </c>
      <c r="J307" s="10">
        <v>45172</v>
      </c>
      <c r="K307" t="s">
        <v>100</v>
      </c>
      <c r="L307" s="1" t="s">
        <v>1154</v>
      </c>
      <c r="M307" s="7" t="str">
        <f>IF(K307="收_客户",INDEX(客户信息维护!C:C,MATCH(银行日记账登记!L307,客户信息维护!B:B,0)),IF(K307="支_供应商",INDEX(供应商信息维护!C:C,MATCH(银行日记账登记!L307,供应商信息维护!B:B,0)),""))</f>
        <v>MARK DESCUENTO S.L</v>
      </c>
      <c r="N307" t="s">
        <v>1156</v>
      </c>
      <c r="Q307" t="s">
        <v>79</v>
      </c>
      <c r="R307" t="s">
        <v>1159</v>
      </c>
    </row>
    <row r="308" spans="2:18" hidden="1" x14ac:dyDescent="0.25">
      <c r="B308" t="s">
        <v>56</v>
      </c>
      <c r="C308" t="s">
        <v>127</v>
      </c>
      <c r="I308">
        <v>314.07</v>
      </c>
      <c r="J308" s="10">
        <v>45173</v>
      </c>
      <c r="K308" t="s">
        <v>100</v>
      </c>
      <c r="L308" s="1" t="s">
        <v>383</v>
      </c>
      <c r="M308" s="7" t="str">
        <f>IF(K308="收_客户",INDEX(客户信息维护!C:C,MATCH(银行日记账登记!L308,客户信息维护!B:B,0)),IF(K308="支_供应商",INDEX(供应商信息维护!C:C,MATCH(银行日记账登记!L308,供应商信息维护!B:B,0)),""))</f>
        <v>HONGJIE LAN</v>
      </c>
      <c r="N308" t="s">
        <v>1160</v>
      </c>
      <c r="Q308" t="s">
        <v>79</v>
      </c>
      <c r="R308" t="s">
        <v>1161</v>
      </c>
    </row>
    <row r="309" spans="2:18" hidden="1" x14ac:dyDescent="0.25">
      <c r="B309" t="s">
        <v>55</v>
      </c>
      <c r="C309" t="s">
        <v>63</v>
      </c>
      <c r="I309">
        <v>1337.58</v>
      </c>
      <c r="J309" s="10">
        <v>45173</v>
      </c>
      <c r="K309" t="s">
        <v>100</v>
      </c>
      <c r="L309" s="1" t="s">
        <v>377</v>
      </c>
      <c r="M309" s="7" t="str">
        <f>IF(K309="收_客户",INDEX(客户信息维护!C:C,MATCH(银行日记账登记!L309,客户信息维护!B:B,0)),IF(K309="支_供应商",INDEX(供应商信息维护!C:C,MATCH(银行日记账登记!L309,供应商信息维护!B:B,0)),""))</f>
        <v>RED COOL S.L</v>
      </c>
      <c r="N309" t="s">
        <v>1162</v>
      </c>
      <c r="P309" t="s">
        <v>303</v>
      </c>
      <c r="Q309" t="s">
        <v>79</v>
      </c>
      <c r="R309" t="s">
        <v>1169</v>
      </c>
    </row>
    <row r="310" spans="2:18" hidden="1" x14ac:dyDescent="0.25">
      <c r="B310" t="s">
        <v>55</v>
      </c>
      <c r="C310" t="s">
        <v>63</v>
      </c>
      <c r="I310">
        <v>260.10000000000002</v>
      </c>
      <c r="J310" s="10">
        <v>45173</v>
      </c>
      <c r="K310" t="s">
        <v>100</v>
      </c>
      <c r="L310" s="1" t="s">
        <v>1163</v>
      </c>
      <c r="M310" s="7" t="str">
        <f>IF(K310="收_客户",INDEX(客户信息维护!C:C,MATCH(银行日记账登记!L310,客户信息维护!B:B,0)),IF(K310="支_供应商",INDEX(供应商信息维护!C:C,MATCH(银行日记账登记!L310,供应商信息维护!B:B,0)),""))</f>
        <v>SONGWEI YANG</v>
      </c>
      <c r="N310" t="s">
        <v>1165</v>
      </c>
      <c r="Q310" t="s">
        <v>79</v>
      </c>
      <c r="R310" t="s">
        <v>1170</v>
      </c>
    </row>
    <row r="311" spans="2:18" hidden="1" x14ac:dyDescent="0.25">
      <c r="B311" t="s">
        <v>55</v>
      </c>
      <c r="C311" t="s">
        <v>63</v>
      </c>
      <c r="I311">
        <v>313.10000000000002</v>
      </c>
      <c r="J311" s="10">
        <v>45173</v>
      </c>
      <c r="K311" t="s">
        <v>100</v>
      </c>
      <c r="L311" s="1" t="s">
        <v>1166</v>
      </c>
      <c r="M311" s="7" t="str">
        <f>IF(K311="收_客户",INDEX(客户信息维护!C:C,MATCH(银行日记账登记!L311,客户信息维护!B:B,0)),IF(K311="支_供应商",INDEX(供应商信息维护!C:C,MATCH(银行日记账登记!L311,供应商信息维护!B:B,0)),""))</f>
        <v>TENG FEI 1688 S.L</v>
      </c>
      <c r="N311" t="s">
        <v>1168</v>
      </c>
      <c r="Q311" t="s">
        <v>79</v>
      </c>
      <c r="R311" t="s">
        <v>1171</v>
      </c>
    </row>
    <row r="312" spans="2:18" hidden="1" x14ac:dyDescent="0.25">
      <c r="B312" t="s">
        <v>60</v>
      </c>
      <c r="C312" t="s">
        <v>66</v>
      </c>
      <c r="I312">
        <v>1320.22</v>
      </c>
      <c r="J312" s="10">
        <v>45173</v>
      </c>
      <c r="K312" t="s">
        <v>100</v>
      </c>
      <c r="L312" s="16" t="s">
        <v>572</v>
      </c>
      <c r="M312" s="7" t="str">
        <f>IF(K312="收_客户",INDEX(客户信息维护!C:C,MATCH(银行日记账登记!L312,客户信息维护!B:B,0)),IF(K312="支_供应商",INDEX(供应商信息维护!C:C,MATCH(银行日记账登记!L312,供应商信息维护!B:B,0)),""))</f>
        <v>WEIYUE LIU</v>
      </c>
      <c r="N312" t="s">
        <v>1172</v>
      </c>
      <c r="Q312" t="s">
        <v>79</v>
      </c>
      <c r="R312" t="s">
        <v>1185</v>
      </c>
    </row>
    <row r="313" spans="2:18" hidden="1" x14ac:dyDescent="0.25">
      <c r="B313" t="s">
        <v>60</v>
      </c>
      <c r="C313" t="s">
        <v>66</v>
      </c>
      <c r="I313">
        <v>1001.59</v>
      </c>
      <c r="J313" s="10">
        <v>45173</v>
      </c>
      <c r="K313" t="s">
        <v>100</v>
      </c>
      <c r="L313" s="16" t="s">
        <v>1173</v>
      </c>
      <c r="M313" s="7" t="str">
        <f>IF(K313="收_客户",INDEX(客户信息维护!C:C,MATCH(银行日记账登记!L313,客户信息维护!B:B,0)),IF(K313="支_供应商",INDEX(供应商信息维护!C:C,MATCH(银行日记账登记!L313,供应商信息维护!B:B,0)),""))</f>
        <v>CHONGYI CHEN 陈崇毅</v>
      </c>
      <c r="N313" t="s">
        <v>1175</v>
      </c>
      <c r="P313" t="s">
        <v>303</v>
      </c>
      <c r="Q313" t="s">
        <v>79</v>
      </c>
      <c r="R313" t="s">
        <v>1186</v>
      </c>
    </row>
    <row r="314" spans="2:18" hidden="1" x14ac:dyDescent="0.25">
      <c r="B314" t="s">
        <v>60</v>
      </c>
      <c r="C314" t="s">
        <v>66</v>
      </c>
      <c r="I314">
        <v>3610.69</v>
      </c>
      <c r="J314" s="10">
        <v>45173</v>
      </c>
      <c r="K314" t="s">
        <v>100</v>
      </c>
      <c r="L314" s="16" t="s">
        <v>1176</v>
      </c>
      <c r="M314" s="7" t="str">
        <f>IF(K314="收_客户",INDEX(客户信息维护!C:C,MATCH(银行日记账登记!L314,客户信息维护!B:B,0)),IF(K314="支_供应商",INDEX(供应商信息维护!C:C,MATCH(银行日记账登记!L314,供应商信息维护!B:B,0)),""))</f>
        <v>HANHAN LDA 季恩云</v>
      </c>
      <c r="N314" t="s">
        <v>1178</v>
      </c>
      <c r="P314" t="s">
        <v>303</v>
      </c>
      <c r="Q314" t="s">
        <v>79</v>
      </c>
      <c r="R314" t="s">
        <v>1187</v>
      </c>
    </row>
    <row r="315" spans="2:18" hidden="1" x14ac:dyDescent="0.25">
      <c r="B315" t="s">
        <v>60</v>
      </c>
      <c r="C315" t="s">
        <v>66</v>
      </c>
      <c r="I315">
        <v>1357.16</v>
      </c>
      <c r="J315" s="10">
        <v>45173</v>
      </c>
      <c r="K315" t="s">
        <v>100</v>
      </c>
      <c r="L315" s="16" t="s">
        <v>1180</v>
      </c>
      <c r="M315" s="7" t="str">
        <f>IF(K315="收_客户",INDEX(客户信息维护!C:C,MATCH(银行日记账登记!L315,客户信息维护!B:B,0)),IF(K315="支_供应商",INDEX(供应商信息维护!C:C,MATCH(银行日记账登记!L315,供应商信息维护!B:B,0)),""))</f>
        <v>INCRIVEL SORRISO IUNIP LDA 吴闯</v>
      </c>
      <c r="N315" t="s">
        <v>1181</v>
      </c>
      <c r="P315" t="s">
        <v>303</v>
      </c>
      <c r="Q315" t="s">
        <v>79</v>
      </c>
      <c r="R315" t="s">
        <v>1188</v>
      </c>
    </row>
    <row r="316" spans="2:18" hidden="1" x14ac:dyDescent="0.25">
      <c r="B316" t="s">
        <v>60</v>
      </c>
      <c r="C316" t="s">
        <v>66</v>
      </c>
      <c r="I316">
        <v>1073.58</v>
      </c>
      <c r="J316" s="10">
        <v>45173</v>
      </c>
      <c r="K316" t="s">
        <v>100</v>
      </c>
      <c r="L316" s="16" t="s">
        <v>1182</v>
      </c>
      <c r="M316" s="7" t="str">
        <f>IF(K316="收_客户",INDEX(客户信息维护!C:C,MATCH(银行日记账登记!L316,客户信息维护!B:B,0)),IF(K316="支_供应商",INDEX(供应商信息维护!C:C,MATCH(银行日记账登记!L316,供应商信息维护!B:B,0)),""))</f>
        <v>HUANG GAIPAO</v>
      </c>
      <c r="N316" t="s">
        <v>1184</v>
      </c>
      <c r="Q316" t="s">
        <v>79</v>
      </c>
      <c r="R316" t="s">
        <v>1189</v>
      </c>
    </row>
    <row r="317" spans="2:18" hidden="1" x14ac:dyDescent="0.25">
      <c r="B317" t="s">
        <v>56</v>
      </c>
      <c r="C317" t="s">
        <v>127</v>
      </c>
      <c r="I317">
        <v>590.70000000000005</v>
      </c>
      <c r="J317" s="10">
        <v>45174</v>
      </c>
      <c r="K317" t="s">
        <v>100</v>
      </c>
      <c r="L317" s="1" t="s">
        <v>1190</v>
      </c>
      <c r="M317" s="7" t="str">
        <f>IF(K317="收_客户",INDEX(客户信息维护!C:C,MATCH(银行日记账登记!L317,客户信息维护!B:B,0)),IF(K317="支_供应商",INDEX(供应商信息维护!C:C,MATCH(银行日记账登记!L317,供应商信息维护!B:B,0)),""))</f>
        <v>YUHENG AVILA S.L</v>
      </c>
      <c r="N317" t="s">
        <v>1192</v>
      </c>
      <c r="Q317" t="s">
        <v>79</v>
      </c>
      <c r="R317" t="s">
        <v>1193</v>
      </c>
    </row>
    <row r="318" spans="2:18" hidden="1" x14ac:dyDescent="0.25">
      <c r="B318" t="s">
        <v>55</v>
      </c>
      <c r="C318" t="s">
        <v>63</v>
      </c>
      <c r="I318">
        <v>1183.72</v>
      </c>
      <c r="J318" s="10">
        <v>45174</v>
      </c>
      <c r="K318" t="s">
        <v>100</v>
      </c>
      <c r="L318" s="1" t="s">
        <v>287</v>
      </c>
      <c r="M318" s="7" t="str">
        <f>IF(K318="收_客户",INDEX(客户信息维护!C:C,MATCH(银行日记账登记!L318,客户信息维护!B:B,0)),IF(K318="支_供应商",INDEX(供应商信息维护!C:C,MATCH(银行日记账登记!L318,供应商信息维护!B:B,0)),""))</f>
        <v>GRAN BAZAR HAO LI S.L.</v>
      </c>
      <c r="N318" t="s">
        <v>1194</v>
      </c>
      <c r="Q318" t="s">
        <v>79</v>
      </c>
      <c r="R318" t="s">
        <v>1195</v>
      </c>
    </row>
    <row r="319" spans="2:18" hidden="1" x14ac:dyDescent="0.25">
      <c r="B319" t="s">
        <v>60</v>
      </c>
      <c r="C319" t="s">
        <v>66</v>
      </c>
      <c r="I319">
        <v>363.92</v>
      </c>
      <c r="J319" s="10">
        <v>45174</v>
      </c>
      <c r="K319" t="s">
        <v>100</v>
      </c>
      <c r="L319" s="16" t="s">
        <v>1196</v>
      </c>
      <c r="M319" s="7" t="str">
        <f>IF(K319="收_客户",INDEX(客户信息维护!C:C,MATCH(银行日记账登记!L319,客户信息维护!B:B,0)),IF(K319="支_供应商",INDEX(供应商信息维护!C:C,MATCH(银行日记账登记!L319,供应商信息维护!B:B,0)),""))</f>
        <v>SUN SUIKANG 孙碎康</v>
      </c>
      <c r="N319" t="s">
        <v>1198</v>
      </c>
      <c r="Q319" t="s">
        <v>79</v>
      </c>
      <c r="R319" t="s">
        <v>1199</v>
      </c>
    </row>
    <row r="320" spans="2:18" hidden="1" x14ac:dyDescent="0.25">
      <c r="B320" t="s">
        <v>56</v>
      </c>
      <c r="C320" t="s">
        <v>127</v>
      </c>
      <c r="I320">
        <v>314.72000000000003</v>
      </c>
      <c r="J320" s="10">
        <v>45175</v>
      </c>
      <c r="K320" t="s">
        <v>100</v>
      </c>
      <c r="L320" s="1" t="s">
        <v>527</v>
      </c>
      <c r="M320" s="7" t="str">
        <f>IF(K320="收_客户",INDEX(客户信息维护!C:C,MATCH(银行日记账登记!L320,客户信息维护!B:B,0)),IF(K320="支_供应商",INDEX(供应商信息维护!C:C,MATCH(银行日记账登记!L320,供应商信息维护!B:B,0)),""))</f>
        <v>EURO BAZAR JIN S.L</v>
      </c>
      <c r="N320" t="s">
        <v>1200</v>
      </c>
      <c r="P320" t="s">
        <v>533</v>
      </c>
      <c r="Q320" t="s">
        <v>79</v>
      </c>
      <c r="R320" t="s">
        <v>1205</v>
      </c>
    </row>
    <row r="321" spans="2:18" hidden="1" x14ac:dyDescent="0.25">
      <c r="B321" t="s">
        <v>56</v>
      </c>
      <c r="C321" t="s">
        <v>127</v>
      </c>
      <c r="I321">
        <v>1066.3</v>
      </c>
      <c r="J321" s="10">
        <v>45175</v>
      </c>
      <c r="K321" t="s">
        <v>100</v>
      </c>
      <c r="L321" s="1" t="s">
        <v>607</v>
      </c>
      <c r="M321" s="7" t="str">
        <f>IF(K321="收_客户",INDEX(客户信息维护!C:C,MATCH(银行日记账登记!L321,客户信息维护!B:B,0)),IF(K321="支_供应商",INDEX(供应商信息维护!C:C,MATCH(银行日记账登记!L321,供应商信息维护!B:B,0)),""))</f>
        <v>PROPICIO 168 S.L</v>
      </c>
      <c r="N321" t="s">
        <v>1201</v>
      </c>
      <c r="Q321" t="s">
        <v>79</v>
      </c>
      <c r="R321" t="s">
        <v>1206</v>
      </c>
    </row>
    <row r="322" spans="2:18" hidden="1" x14ac:dyDescent="0.25">
      <c r="B322" t="s">
        <v>56</v>
      </c>
      <c r="C322" t="s">
        <v>127</v>
      </c>
      <c r="I322">
        <v>1835.6</v>
      </c>
      <c r="J322" s="10">
        <v>45175</v>
      </c>
      <c r="K322" t="s">
        <v>100</v>
      </c>
      <c r="L322" s="1" t="s">
        <v>1202</v>
      </c>
      <c r="M322" s="7" t="str">
        <f>IF(K322="收_客户",INDEX(客户信息维护!C:C,MATCH(银行日记账登记!L322,客户信息维护!B:B,0)),IF(K322="支_供应商",INDEX(供应商信息维护!C:C,MATCH(银行日记账登记!L322,供应商信息维护!B:B,0)),""))</f>
        <v>XINMEIJIA S.L.</v>
      </c>
      <c r="N322" t="s">
        <v>1204</v>
      </c>
      <c r="Q322" t="s">
        <v>79</v>
      </c>
      <c r="R322" t="s">
        <v>1207</v>
      </c>
    </row>
    <row r="323" spans="2:18" hidden="1" x14ac:dyDescent="0.25">
      <c r="B323" t="s">
        <v>55</v>
      </c>
      <c r="C323" t="s">
        <v>63</v>
      </c>
      <c r="I323">
        <v>1557.7</v>
      </c>
      <c r="J323" s="10">
        <v>45174</v>
      </c>
      <c r="K323" t="s">
        <v>100</v>
      </c>
      <c r="L323" s="1" t="s">
        <v>1208</v>
      </c>
      <c r="M323" s="7" t="str">
        <f>IF(K323="收_客户",INDEX(客户信息维护!C:C,MATCH(银行日记账登记!L323,客户信息维护!B:B,0)),IF(K323="支_供应商",INDEX(供应商信息维护!C:C,MATCH(银行日记账登记!L323,供应商信息维护!B:B,0)),""))</f>
        <v>CASH HOGAR CANARIAS S.L</v>
      </c>
      <c r="N323" t="s">
        <v>1210</v>
      </c>
      <c r="Q323" t="s">
        <v>79</v>
      </c>
      <c r="R323" t="s">
        <v>1219</v>
      </c>
    </row>
    <row r="324" spans="2:18" hidden="1" x14ac:dyDescent="0.25">
      <c r="B324" t="s">
        <v>55</v>
      </c>
      <c r="C324" t="s">
        <v>63</v>
      </c>
      <c r="I324">
        <v>1195.4000000000001</v>
      </c>
      <c r="J324" s="10">
        <v>45175</v>
      </c>
      <c r="K324" t="s">
        <v>100</v>
      </c>
      <c r="L324" s="1" t="s">
        <v>1211</v>
      </c>
      <c r="M324" s="7" t="str">
        <f>IF(K324="收_客户",INDEX(客户信息维护!C:C,MATCH(银行日记账登记!L324,客户信息维护!B:B,0)),IF(K324="支_供应商",INDEX(供应商信息维护!C:C,MATCH(银行日记账登记!L324,供应商信息维护!B:B,0)),""))</f>
        <v>MODERN TIMES STORE S.L</v>
      </c>
      <c r="N324" t="s">
        <v>1213</v>
      </c>
      <c r="Q324" t="s">
        <v>79</v>
      </c>
      <c r="R324" t="s">
        <v>1220</v>
      </c>
    </row>
    <row r="325" spans="2:18" hidden="1" x14ac:dyDescent="0.25">
      <c r="B325" t="s">
        <v>55</v>
      </c>
      <c r="C325" t="s">
        <v>63</v>
      </c>
      <c r="I325">
        <v>1736.83</v>
      </c>
      <c r="J325" s="10">
        <v>45175</v>
      </c>
      <c r="K325" t="s">
        <v>100</v>
      </c>
      <c r="L325" s="1" t="s">
        <v>295</v>
      </c>
      <c r="M325" s="7" t="str">
        <f>IF(K325="收_客户",INDEX(客户信息维护!C:C,MATCH(银行日记账登记!L325,客户信息维护!B:B,0)),IF(K325="支_供应商",INDEX(供应商信息维护!C:C,MATCH(银行日记账登记!L325,供应商信息维护!B:B,0)),""))</f>
        <v>XIAOJUN CHEN</v>
      </c>
      <c r="N325" t="s">
        <v>1214</v>
      </c>
      <c r="Q325" t="s">
        <v>79</v>
      </c>
      <c r="R325" t="s">
        <v>1221</v>
      </c>
    </row>
    <row r="326" spans="2:18" hidden="1" x14ac:dyDescent="0.25">
      <c r="B326" t="s">
        <v>55</v>
      </c>
      <c r="C326" t="s">
        <v>63</v>
      </c>
      <c r="I326">
        <v>1354.56</v>
      </c>
      <c r="J326" s="10">
        <v>45175</v>
      </c>
      <c r="K326" t="s">
        <v>100</v>
      </c>
      <c r="L326" s="1" t="s">
        <v>1215</v>
      </c>
      <c r="M326" s="7" t="str">
        <f>IF(K326="收_客户",INDEX(客户信息维护!C:C,MATCH(银行日记账登记!L326,客户信息维护!B:B,0)),IF(K326="支_供应商",INDEX(供应商信息维护!C:C,MATCH(银行日记账登记!L326,供应商信息维护!B:B,0)),""))</f>
        <v>CHOLLOS EL BARATO S.L</v>
      </c>
      <c r="N326" t="s">
        <v>1217</v>
      </c>
      <c r="P326" t="s">
        <v>303</v>
      </c>
      <c r="Q326" t="s">
        <v>79</v>
      </c>
      <c r="R326" t="s">
        <v>1222</v>
      </c>
    </row>
    <row r="327" spans="2:18" hidden="1" x14ac:dyDescent="0.25">
      <c r="B327" t="s">
        <v>55</v>
      </c>
      <c r="C327" t="s">
        <v>63</v>
      </c>
      <c r="I327">
        <v>375.09</v>
      </c>
      <c r="J327" s="10">
        <v>45175</v>
      </c>
      <c r="K327" t="s">
        <v>100</v>
      </c>
      <c r="L327" s="1" t="s">
        <v>291</v>
      </c>
      <c r="M327" s="7" t="str">
        <f>IF(K327="收_客户",INDEX(客户信息维护!C:C,MATCH(银行日记账登记!L327,客户信息维护!B:B,0)),IF(K327="支_供应商",INDEX(供应商信息维护!C:C,MATCH(银行日记账登记!L327,供应商信息维护!B:B,0)),""))</f>
        <v>WYR HIPERMARKET S.L</v>
      </c>
      <c r="N327" t="s">
        <v>1218</v>
      </c>
      <c r="Q327" t="s">
        <v>79</v>
      </c>
      <c r="R327" t="s">
        <v>1223</v>
      </c>
    </row>
    <row r="328" spans="2:18" hidden="1" x14ac:dyDescent="0.25">
      <c r="B328" t="s">
        <v>56</v>
      </c>
      <c r="C328" t="s">
        <v>127</v>
      </c>
      <c r="I328">
        <v>381.83</v>
      </c>
      <c r="J328" s="10">
        <v>45176</v>
      </c>
      <c r="K328" t="s">
        <v>100</v>
      </c>
      <c r="L328" s="1" t="s">
        <v>1224</v>
      </c>
      <c r="M328" s="7" t="str">
        <f>IF(K328="收_客户",INDEX(客户信息维护!C:C,MATCH(银行日记账登记!L328,客户信息维护!B:B,0)),IF(K328="支_供应商",INDEX(供应商信息维护!C:C,MATCH(银行日记账登记!L328,供应商信息维护!B:B,0)),""))</f>
        <v>XUEZHEN CHEN</v>
      </c>
      <c r="N328" t="s">
        <v>1226</v>
      </c>
      <c r="P328" t="s">
        <v>533</v>
      </c>
      <c r="Q328" t="s">
        <v>79</v>
      </c>
      <c r="R328" t="s">
        <v>1230</v>
      </c>
    </row>
    <row r="329" spans="2:18" hidden="1" x14ac:dyDescent="0.25">
      <c r="B329" t="s">
        <v>56</v>
      </c>
      <c r="C329" t="s">
        <v>127</v>
      </c>
      <c r="I329">
        <v>1203.18</v>
      </c>
      <c r="J329" s="10">
        <v>45176</v>
      </c>
      <c r="K329" t="s">
        <v>100</v>
      </c>
      <c r="L329" s="1" t="s">
        <v>1227</v>
      </c>
      <c r="M329" s="7" t="str">
        <f>IF(K329="收_客户",INDEX(客户信息维护!C:C,MATCH(银行日记账登记!L329,客户信息维护!B:B,0)),IF(K329="支_供应商",INDEX(供应商信息维护!C:C,MATCH(银行日记账登记!L329,供应商信息维护!B:B,0)),""))</f>
        <v>ZHONGJIE CHENG</v>
      </c>
      <c r="N329" t="s">
        <v>1229</v>
      </c>
      <c r="Q329" t="s">
        <v>79</v>
      </c>
      <c r="R329" t="s">
        <v>1231</v>
      </c>
    </row>
    <row r="330" spans="2:18" hidden="1" x14ac:dyDescent="0.25">
      <c r="B330" t="s">
        <v>55</v>
      </c>
      <c r="C330" t="s">
        <v>63</v>
      </c>
      <c r="I330">
        <v>1801.92</v>
      </c>
      <c r="J330" s="10">
        <v>45175</v>
      </c>
      <c r="K330" t="s">
        <v>100</v>
      </c>
      <c r="L330" s="1" t="s">
        <v>454</v>
      </c>
      <c r="M330" s="7" t="str">
        <f>IF(K330="收_客户",INDEX(客户信息维护!C:C,MATCH(银行日记账登记!L330,客户信息维护!B:B,0)),IF(K330="支_供应商",INDEX(供应商信息维护!C:C,MATCH(银行日记账登记!L330,供应商信息维护!B:B,0)),""))</f>
        <v>MERCA VALL 2022 S.L.</v>
      </c>
      <c r="N330" t="s">
        <v>1232</v>
      </c>
      <c r="Q330" t="s">
        <v>79</v>
      </c>
      <c r="R330" t="s">
        <v>1233</v>
      </c>
    </row>
    <row r="331" spans="2:18" hidden="1" x14ac:dyDescent="0.25">
      <c r="B331" t="s">
        <v>56</v>
      </c>
      <c r="C331" t="s">
        <v>127</v>
      </c>
      <c r="I331">
        <v>2679.35</v>
      </c>
      <c r="J331" s="10">
        <v>45177</v>
      </c>
      <c r="K331" t="s">
        <v>100</v>
      </c>
      <c r="L331" s="1" t="s">
        <v>1234</v>
      </c>
      <c r="M331" s="7" t="str">
        <f>IF(K331="收_客户",INDEX(客户信息维护!C:C,MATCH(银行日记账登记!L331,客户信息维护!B:B,0)),IF(K331="支_供应商",INDEX(供应商信息维护!C:C,MATCH(银行日记账登记!L331,供应商信息维护!B:B,0)),""))</f>
        <v>JR IMPORT CANARIAS 2022 S.L</v>
      </c>
      <c r="N331" t="s">
        <v>1236</v>
      </c>
      <c r="Q331" t="s">
        <v>79</v>
      </c>
      <c r="R331" t="s">
        <v>1263</v>
      </c>
    </row>
    <row r="332" spans="2:18" hidden="1" x14ac:dyDescent="0.25">
      <c r="B332" t="s">
        <v>56</v>
      </c>
      <c r="C332" t="s">
        <v>127</v>
      </c>
      <c r="I332">
        <v>2441.75</v>
      </c>
      <c r="J332" s="10">
        <v>45177</v>
      </c>
      <c r="K332" t="s">
        <v>100</v>
      </c>
      <c r="L332" s="1" t="s">
        <v>1237</v>
      </c>
      <c r="M332" s="7" t="str">
        <f>IF(K332="收_客户",INDEX(客户信息维护!C:C,MATCH(银行日记账登记!L332,客户信息维护!B:B,0)),IF(K332="支_供应商",INDEX(供应商信息维护!C:C,MATCH(银行日记账登记!L332,供应商信息维护!B:B,0)),""))</f>
        <v>NOVALIFECOMERCIO S.L</v>
      </c>
      <c r="N332" t="s">
        <v>1239</v>
      </c>
      <c r="Q332" t="s">
        <v>79</v>
      </c>
      <c r="R332" t="s">
        <v>1264</v>
      </c>
    </row>
    <row r="333" spans="2:18" hidden="1" x14ac:dyDescent="0.25">
      <c r="B333" t="s">
        <v>56</v>
      </c>
      <c r="C333" t="s">
        <v>127</v>
      </c>
      <c r="I333">
        <v>389.43</v>
      </c>
      <c r="J333" s="10">
        <v>45178</v>
      </c>
      <c r="K333" t="s">
        <v>100</v>
      </c>
      <c r="L333" s="1" t="s">
        <v>1240</v>
      </c>
      <c r="M333" s="7" t="str">
        <f>IF(K333="收_客户",INDEX(客户信息维护!C:C,MATCH(银行日记账登记!L333,客户信息维护!B:B,0)),IF(K333="支_供应商",INDEX(供应商信息维护!C:C,MATCH(银行日记账登记!L333,供应商信息维护!B:B,0)),""))</f>
        <v>JIANXING HUANG</v>
      </c>
      <c r="N333" t="s">
        <v>1242</v>
      </c>
      <c r="Q333" t="s">
        <v>79</v>
      </c>
      <c r="R333" t="s">
        <v>1265</v>
      </c>
    </row>
    <row r="334" spans="2:18" hidden="1" x14ac:dyDescent="0.25">
      <c r="B334" t="s">
        <v>55</v>
      </c>
      <c r="C334" t="s">
        <v>63</v>
      </c>
      <c r="I334">
        <v>770.21</v>
      </c>
      <c r="J334" s="10">
        <v>45176</v>
      </c>
      <c r="K334" t="s">
        <v>100</v>
      </c>
      <c r="L334" s="1" t="s">
        <v>1243</v>
      </c>
      <c r="M334" s="7" t="str">
        <f>IF(K334="收_客户",INDEX(客户信息维护!C:C,MATCH(银行日记账登记!L334,客户信息维护!B:B,0)),IF(K334="支_供应商",INDEX(供应商信息维护!C:C,MATCH(银行日记账登记!L334,供应商信息维护!B:B,0)),""))</f>
        <v>MEIZHOU ZHU</v>
      </c>
      <c r="N334" t="s">
        <v>1245</v>
      </c>
      <c r="Q334" t="s">
        <v>79</v>
      </c>
      <c r="R334" t="s">
        <v>1258</v>
      </c>
    </row>
    <row r="335" spans="2:18" hidden="1" x14ac:dyDescent="0.25">
      <c r="B335" t="s">
        <v>55</v>
      </c>
      <c r="C335" t="s">
        <v>63</v>
      </c>
      <c r="I335">
        <v>1771.49</v>
      </c>
      <c r="J335" s="10">
        <v>45176</v>
      </c>
      <c r="K335" t="s">
        <v>100</v>
      </c>
      <c r="L335" s="1" t="s">
        <v>1246</v>
      </c>
      <c r="M335" s="7" t="str">
        <f>IF(K335="收_客户",INDEX(客户信息维护!C:C,MATCH(银行日记账登记!L335,客户信息维护!B:B,0)),IF(K335="支_供应商",INDEX(供应商信息维护!C:C,MATCH(银行日记账登记!L335,供应商信息维护!B:B,0)),""))</f>
        <v>LIHUA ZHANG</v>
      </c>
      <c r="N335" t="s">
        <v>1248</v>
      </c>
      <c r="Q335" t="s">
        <v>79</v>
      </c>
      <c r="R335" t="s">
        <v>1259</v>
      </c>
    </row>
    <row r="336" spans="2:18" hidden="1" x14ac:dyDescent="0.25">
      <c r="B336" t="s">
        <v>55</v>
      </c>
      <c r="C336" t="s">
        <v>63</v>
      </c>
      <c r="I336">
        <v>894.9</v>
      </c>
      <c r="J336" s="10">
        <v>45176</v>
      </c>
      <c r="K336" t="s">
        <v>100</v>
      </c>
      <c r="L336" s="1" t="s">
        <v>1249</v>
      </c>
      <c r="M336" s="7" t="str">
        <f>IF(K336="收_客户",INDEX(客户信息维护!C:C,MATCH(银行日记账登记!L336,客户信息维护!B:B,0)),IF(K336="支_供应商",INDEX(供应商信息维护!C:C,MATCH(银行日记账登记!L336,供应商信息维护!B:B,0)),""))</f>
        <v>MERCA ESTRADA S.L</v>
      </c>
      <c r="N336" t="s">
        <v>1251</v>
      </c>
      <c r="Q336" t="s">
        <v>79</v>
      </c>
      <c r="R336" t="s">
        <v>1260</v>
      </c>
    </row>
    <row r="337" spans="2:18" hidden="1" x14ac:dyDescent="0.25">
      <c r="B337" t="s">
        <v>55</v>
      </c>
      <c r="C337" t="s">
        <v>63</v>
      </c>
      <c r="I337">
        <v>2829.63</v>
      </c>
      <c r="J337" s="10">
        <v>45177</v>
      </c>
      <c r="K337" t="s">
        <v>100</v>
      </c>
      <c r="L337" s="1" t="s">
        <v>1252</v>
      </c>
      <c r="M337" s="7" t="str">
        <f>IF(K337="收_客户",INDEX(客户信息维护!C:C,MATCH(银行日记账登记!L337,客户信息维护!B:B,0)),IF(K337="支_供应商",INDEX(供应商信息维护!C:C,MATCH(银行日记账登记!L337,供应商信息维护!B:B,0)),""))</f>
        <v>GRAN FAMILIA 2016 S.L 永顺</v>
      </c>
      <c r="N337" t="s">
        <v>1254</v>
      </c>
      <c r="P337" t="s">
        <v>303</v>
      </c>
      <c r="Q337" t="s">
        <v>79</v>
      </c>
      <c r="R337" t="s">
        <v>1261</v>
      </c>
    </row>
    <row r="338" spans="2:18" hidden="1" x14ac:dyDescent="0.25">
      <c r="B338" t="s">
        <v>55</v>
      </c>
      <c r="C338" t="s">
        <v>63</v>
      </c>
      <c r="I338">
        <v>8818.25</v>
      </c>
      <c r="J338" s="10">
        <v>45177</v>
      </c>
      <c r="K338" t="s">
        <v>100</v>
      </c>
      <c r="L338" s="1" t="s">
        <v>1255</v>
      </c>
      <c r="M338" s="7" t="str">
        <f>IF(K338="收_客户",INDEX(客户信息维护!C:C,MATCH(银行日记账登记!L338,客户信息维护!B:B,0)),IF(K338="支_供应商",INDEX(供应商信息维护!C:C,MATCH(银行日记账登记!L338,供应商信息维护!B:B,0)),""))</f>
        <v>COMERCIO IDEAL 2015 S.L 兄弟</v>
      </c>
      <c r="N338" t="s">
        <v>1257</v>
      </c>
      <c r="P338" t="s">
        <v>303</v>
      </c>
      <c r="Q338" t="s">
        <v>79</v>
      </c>
      <c r="R338" t="s">
        <v>1262</v>
      </c>
    </row>
    <row r="339" spans="2:18" hidden="1" x14ac:dyDescent="0.25">
      <c r="B339" t="s">
        <v>55</v>
      </c>
      <c r="C339" t="s">
        <v>63</v>
      </c>
      <c r="I339">
        <v>402.84</v>
      </c>
      <c r="J339" s="10">
        <v>45177</v>
      </c>
      <c r="K339" t="s">
        <v>100</v>
      </c>
      <c r="L339" s="1" t="s">
        <v>1266</v>
      </c>
      <c r="M339" s="7" t="str">
        <f>IF(K339="收_客户",INDEX(客户信息维护!C:C,MATCH(银行日记账登记!L339,客户信息维护!B:B,0)),IF(K339="支_供应商",INDEX(供应商信息维护!C:C,MATCH(银行日记账登记!L339,供应商信息维护!B:B,0)),""))</f>
        <v xml:space="preserve">LIU XIA </v>
      </c>
      <c r="N339" t="s">
        <v>1268</v>
      </c>
      <c r="Q339" t="s">
        <v>79</v>
      </c>
      <c r="R339" t="s">
        <v>1273</v>
      </c>
    </row>
    <row r="340" spans="2:18" hidden="1" x14ac:dyDescent="0.25">
      <c r="B340" t="s">
        <v>55</v>
      </c>
      <c r="C340" t="s">
        <v>63</v>
      </c>
      <c r="I340">
        <v>1108.5999999999999</v>
      </c>
      <c r="J340" s="10">
        <v>45180</v>
      </c>
      <c r="K340" t="s">
        <v>100</v>
      </c>
      <c r="L340" s="1" t="s">
        <v>1269</v>
      </c>
      <c r="M340" s="7" t="str">
        <f>IF(K340="收_客户",INDEX(客户信息维护!C:C,MATCH(银行日记账登记!L340,客户信息维护!B:B,0)),IF(K340="支_供应商",INDEX(供应商信息维护!C:C,MATCH(银行日记账登记!L340,供应商信息维护!B:B,0)),""))</f>
        <v>HIPER AHORRO S.L</v>
      </c>
      <c r="N340" t="s">
        <v>1271</v>
      </c>
      <c r="Q340" t="s">
        <v>79</v>
      </c>
      <c r="R340" t="s">
        <v>1274</v>
      </c>
    </row>
    <row r="341" spans="2:18" hidden="1" x14ac:dyDescent="0.25">
      <c r="B341" t="s">
        <v>55</v>
      </c>
      <c r="C341" t="s">
        <v>63</v>
      </c>
      <c r="I341">
        <v>308.19</v>
      </c>
      <c r="J341" s="10">
        <v>45180</v>
      </c>
      <c r="K341" t="s">
        <v>100</v>
      </c>
      <c r="L341" s="1" t="s">
        <v>702</v>
      </c>
      <c r="M341" s="7" t="str">
        <f>IF(K341="收_客户",INDEX(客户信息维护!C:C,MATCH(银行日记账登记!L341,客户信息维护!B:B,0)),IF(K341="支_供应商",INDEX(供应商信息维护!C:C,MATCH(银行日记账登记!L341,供应商信息维护!B:B,0)),""))</f>
        <v>LIFEN LIU</v>
      </c>
      <c r="N341" t="s">
        <v>1272</v>
      </c>
      <c r="Q341" t="s">
        <v>79</v>
      </c>
      <c r="R341" t="s">
        <v>1275</v>
      </c>
    </row>
    <row r="342" spans="2:18" hidden="1" x14ac:dyDescent="0.25">
      <c r="B342" t="s">
        <v>56</v>
      </c>
      <c r="C342" t="s">
        <v>127</v>
      </c>
      <c r="I342">
        <v>648.65</v>
      </c>
      <c r="J342" s="10">
        <v>45178</v>
      </c>
      <c r="K342" t="s">
        <v>100</v>
      </c>
      <c r="L342" s="1" t="s">
        <v>386</v>
      </c>
      <c r="M342" s="7" t="str">
        <f>IF(K342="收_客户",INDEX(客户信息维护!C:C,MATCH(银行日记账登记!L342,客户信息维护!B:B,0)),IF(K342="支_供应商",INDEX(供应商信息维护!C:C,MATCH(银行日记账登记!L342,供应商信息维护!B:B,0)),""))</f>
        <v>MAXI CASA AMUNT S.L</v>
      </c>
      <c r="N342" t="s">
        <v>1276</v>
      </c>
      <c r="Q342" t="s">
        <v>79</v>
      </c>
      <c r="R342" t="s">
        <v>1280</v>
      </c>
    </row>
    <row r="343" spans="2:18" hidden="1" x14ac:dyDescent="0.25">
      <c r="B343" t="s">
        <v>56</v>
      </c>
      <c r="C343" t="s">
        <v>127</v>
      </c>
      <c r="I343">
        <v>639.20000000000005</v>
      </c>
      <c r="J343" s="10">
        <v>45179</v>
      </c>
      <c r="K343" t="s">
        <v>100</v>
      </c>
      <c r="L343" s="1" t="s">
        <v>1277</v>
      </c>
      <c r="M343" s="7" t="str">
        <f>IF(K343="收_客户",INDEX(客户信息维护!C:C,MATCH(银行日记账登记!L343,客户信息维护!B:B,0)),IF(K343="支_供应商",INDEX(供应商信息维护!C:C,MATCH(银行日记账登记!L343,供应商信息维护!B:B,0)),""))</f>
        <v>BOKANG ZHENG</v>
      </c>
      <c r="N343" t="s">
        <v>1279</v>
      </c>
      <c r="Q343" t="s">
        <v>79</v>
      </c>
      <c r="R343" t="s">
        <v>1281</v>
      </c>
    </row>
    <row r="344" spans="2:18" hidden="1" x14ac:dyDescent="0.25">
      <c r="B344" t="s">
        <v>60</v>
      </c>
      <c r="C344" t="s">
        <v>66</v>
      </c>
      <c r="I344">
        <v>1154.28</v>
      </c>
      <c r="J344" s="10">
        <v>45177</v>
      </c>
      <c r="K344" t="s">
        <v>100</v>
      </c>
      <c r="L344" s="16" t="s">
        <v>459</v>
      </c>
      <c r="M344" s="7" t="str">
        <f>IF(K344="收_客户",INDEX(客户信息维护!C:C,MATCH(银行日记账登记!L344,客户信息维护!B:B,0)),IF(K344="支_供应商",INDEX(供应商信息维护!C:C,MATCH(银行日记账登记!L344,供应商信息维护!B:B,0)),""))</f>
        <v>HAOYUNLAI LDA</v>
      </c>
      <c r="N344" t="s">
        <v>1282</v>
      </c>
      <c r="Q344" t="s">
        <v>79</v>
      </c>
      <c r="R344" t="s">
        <v>1283</v>
      </c>
    </row>
    <row r="345" spans="2:18" hidden="1" x14ac:dyDescent="0.25">
      <c r="B345" t="s">
        <v>55</v>
      </c>
      <c r="C345" t="s">
        <v>63</v>
      </c>
      <c r="I345">
        <v>184.1</v>
      </c>
      <c r="J345" s="10">
        <v>45180</v>
      </c>
      <c r="K345" t="s">
        <v>100</v>
      </c>
      <c r="L345" s="1" t="s">
        <v>408</v>
      </c>
      <c r="M345" s="7" t="str">
        <f>IF(K345="收_客户",INDEX(客户信息维护!C:C,MATCH(银行日记账登记!L345,客户信息维护!B:B,0)),IF(K345="支_供应商",INDEX(供应商信息维护!C:C,MATCH(银行日记账登记!L345,供应商信息维护!B:B,0)),""))</f>
        <v>LE WANG</v>
      </c>
      <c r="N345" t="s">
        <v>1284</v>
      </c>
      <c r="Q345" t="s">
        <v>79</v>
      </c>
      <c r="R345" t="s">
        <v>1286</v>
      </c>
    </row>
    <row r="346" spans="2:18" hidden="1" x14ac:dyDescent="0.25">
      <c r="B346" t="s">
        <v>55</v>
      </c>
      <c r="C346" t="s">
        <v>63</v>
      </c>
      <c r="I346">
        <v>795.55</v>
      </c>
      <c r="J346" s="10">
        <v>45180</v>
      </c>
      <c r="K346" t="s">
        <v>100</v>
      </c>
      <c r="L346" s="1" t="s">
        <v>862</v>
      </c>
      <c r="M346" s="7" t="str">
        <f>IF(K346="收_客户",INDEX(客户信息维护!C:C,MATCH(银行日记账登记!L346,客户信息维护!B:B,0)),IF(K346="支_供应商",INDEX(供应商信息维护!C:C,MATCH(银行日记账登记!L346,供应商信息维护!B:B,0)),""))</f>
        <v>CHAOQUN DU</v>
      </c>
      <c r="N346" t="s">
        <v>1285</v>
      </c>
      <c r="Q346" t="s">
        <v>79</v>
      </c>
      <c r="R346" t="s">
        <v>1287</v>
      </c>
    </row>
    <row r="347" spans="2:18" hidden="1" x14ac:dyDescent="0.25">
      <c r="B347" t="s">
        <v>56</v>
      </c>
      <c r="C347" t="s">
        <v>127</v>
      </c>
      <c r="I347">
        <v>702.47</v>
      </c>
      <c r="J347" s="10">
        <v>45181</v>
      </c>
      <c r="K347" t="s">
        <v>100</v>
      </c>
      <c r="L347" s="1" t="s">
        <v>275</v>
      </c>
      <c r="M347" s="7" t="str">
        <f>IF(K347="收_客户",INDEX(客户信息维护!C:C,MATCH(银行日记账登记!L347,客户信息维护!B:B,0)),IF(K347="支_供应商",INDEX(供应商信息维护!C:C,MATCH(银行日记账登记!L347,供应商信息维护!B:B,0)),""))</f>
        <v>TE ESPERAMOS S.L.</v>
      </c>
      <c r="N347" t="s">
        <v>1288</v>
      </c>
      <c r="Q347" t="s">
        <v>79</v>
      </c>
      <c r="R347" t="s">
        <v>1299</v>
      </c>
    </row>
    <row r="348" spans="2:18" hidden="1" x14ac:dyDescent="0.25">
      <c r="B348" t="s">
        <v>56</v>
      </c>
      <c r="C348" t="s">
        <v>127</v>
      </c>
      <c r="I348">
        <v>2698.28</v>
      </c>
      <c r="J348" s="10">
        <v>45181</v>
      </c>
      <c r="K348" t="s">
        <v>100</v>
      </c>
      <c r="L348" s="1" t="s">
        <v>1289</v>
      </c>
      <c r="M348" s="7" t="str">
        <f>IF(K348="收_客户",INDEX(客户信息维护!C:C,MATCH(银行日记账登记!L348,客户信息维护!B:B,0)),IF(K348="支_供应商",INDEX(供应商信息维护!C:C,MATCH(银行日记账登记!L348,供应商信息维护!B:B,0)),""))</f>
        <v>GRAN BAZAR SOLLER S.L</v>
      </c>
      <c r="N348" t="s">
        <v>1291</v>
      </c>
      <c r="Q348" t="s">
        <v>79</v>
      </c>
      <c r="R348" t="s">
        <v>1300</v>
      </c>
    </row>
    <row r="349" spans="2:18" hidden="1" x14ac:dyDescent="0.25">
      <c r="B349" t="s">
        <v>56</v>
      </c>
      <c r="C349" t="s">
        <v>127</v>
      </c>
      <c r="I349">
        <v>466.14</v>
      </c>
      <c r="J349" s="10">
        <v>45181</v>
      </c>
      <c r="K349" t="s">
        <v>100</v>
      </c>
      <c r="L349" s="1" t="s">
        <v>650</v>
      </c>
      <c r="M349" s="7" t="str">
        <f>IF(K349="收_客户",INDEX(客户信息维护!C:C,MATCH(银行日记账登记!L349,客户信息维护!B:B,0)),IF(K349="支_供应商",INDEX(供应商信息维护!C:C,MATCH(银行日记账登记!L349,供应商信息维护!B:B,0)),""))</f>
        <v>JIA SHUN HE XIANG S.L</v>
      </c>
      <c r="N349" t="s">
        <v>1292</v>
      </c>
      <c r="P349" t="s">
        <v>533</v>
      </c>
      <c r="Q349" t="s">
        <v>79</v>
      </c>
      <c r="R349" t="s">
        <v>1301</v>
      </c>
    </row>
    <row r="350" spans="2:18" hidden="1" x14ac:dyDescent="0.25">
      <c r="B350" t="s">
        <v>56</v>
      </c>
      <c r="C350" t="s">
        <v>127</v>
      </c>
      <c r="I350">
        <v>507.67</v>
      </c>
      <c r="J350" s="10">
        <v>45181</v>
      </c>
      <c r="K350" t="s">
        <v>100</v>
      </c>
      <c r="L350" s="1" t="s">
        <v>1293</v>
      </c>
      <c r="M350" s="7" t="str">
        <f>IF(K350="收_客户",INDEX(客户信息维护!C:C,MATCH(银行日记账登记!L350,客户信息维护!B:B,0)),IF(K350="支_供应商",INDEX(供应商信息维护!C:C,MATCH(银行日记账登记!L350,供应商信息维护!B:B,0)),""))</f>
        <v>XUEHONG WU</v>
      </c>
      <c r="N350" t="s">
        <v>1295</v>
      </c>
      <c r="Q350" t="s">
        <v>79</v>
      </c>
      <c r="R350" t="s">
        <v>1302</v>
      </c>
    </row>
    <row r="351" spans="2:18" hidden="1" x14ac:dyDescent="0.25">
      <c r="B351" t="s">
        <v>56</v>
      </c>
      <c r="C351" t="s">
        <v>127</v>
      </c>
      <c r="I351">
        <v>2157.5500000000002</v>
      </c>
      <c r="J351" s="10">
        <v>45181</v>
      </c>
      <c r="K351" t="s">
        <v>100</v>
      </c>
      <c r="L351" s="1" t="s">
        <v>1296</v>
      </c>
      <c r="M351" s="7" t="str">
        <f>IF(K351="收_客户",INDEX(客户信息维护!C:C,MATCH(银行日记账登记!L351,客户信息维护!B:B,0)),IF(K351="支_供应商",INDEX(供应商信息维护!C:C,MATCH(银行日记账登记!L351,供应商信息维护!B:B,0)),""))</f>
        <v>MICHAEL LIN</v>
      </c>
      <c r="N351" t="s">
        <v>1298</v>
      </c>
      <c r="Q351" t="s">
        <v>79</v>
      </c>
      <c r="R351" t="s">
        <v>1303</v>
      </c>
    </row>
    <row r="352" spans="2:18" hidden="1" x14ac:dyDescent="0.25">
      <c r="B352" t="s">
        <v>55</v>
      </c>
      <c r="C352" t="s">
        <v>63</v>
      </c>
      <c r="I352">
        <v>4952.78</v>
      </c>
      <c r="J352" s="10">
        <v>45181</v>
      </c>
      <c r="K352" t="s">
        <v>100</v>
      </c>
      <c r="L352" s="1" t="s">
        <v>1092</v>
      </c>
      <c r="M352" s="7" t="str">
        <f>IF(K352="收_客户",INDEX(客户信息维护!C:C,MATCH(银行日记账登记!L352,客户信息维护!B:B,0)),IF(K352="支_供应商",INDEX(供应商信息维护!C:C,MATCH(银行日记账登记!L352,供应商信息维护!B:B,0)),""))</f>
        <v>HONG DA CHINA S.L  马拉加宏达</v>
      </c>
      <c r="N352" t="s">
        <v>1304</v>
      </c>
      <c r="P352" t="s">
        <v>303</v>
      </c>
      <c r="Q352" t="s">
        <v>79</v>
      </c>
      <c r="R352" t="s">
        <v>1305</v>
      </c>
    </row>
    <row r="353" spans="2:18" hidden="1" x14ac:dyDescent="0.25">
      <c r="B353" t="s">
        <v>56</v>
      </c>
      <c r="C353" t="s">
        <v>127</v>
      </c>
      <c r="I353">
        <v>1128.5</v>
      </c>
      <c r="J353" s="10">
        <v>45181</v>
      </c>
      <c r="K353" t="s">
        <v>100</v>
      </c>
      <c r="L353" s="1" t="s">
        <v>549</v>
      </c>
      <c r="M353" s="7" t="str">
        <f>IF(K353="收_客户",INDEX(客户信息维护!C:C,MATCH(银行日记账登记!L353,客户信息维护!B:B,0)),IF(K353="支_供应商",INDEX(供应商信息维护!C:C,MATCH(银行日记账登记!L353,供应商信息维护!B:B,0)),""))</f>
        <v>MI BAZAR S.L 王晓雪</v>
      </c>
      <c r="N353" t="s">
        <v>1306</v>
      </c>
      <c r="Q353" t="s">
        <v>79</v>
      </c>
      <c r="R353" t="s">
        <v>1310</v>
      </c>
    </row>
    <row r="354" spans="2:18" hidden="1" x14ac:dyDescent="0.25">
      <c r="B354" t="s">
        <v>56</v>
      </c>
      <c r="C354" t="s">
        <v>127</v>
      </c>
      <c r="I354">
        <v>1061.93</v>
      </c>
      <c r="J354" s="10">
        <v>45181</v>
      </c>
      <c r="K354" t="s">
        <v>100</v>
      </c>
      <c r="L354" s="1" t="s">
        <v>1307</v>
      </c>
      <c r="M354" s="7" t="str">
        <f>IF(K354="收_客户",INDEX(客户信息维护!C:C,MATCH(银行日记账登记!L354,客户信息维护!B:B,0)),IF(K354="支_供应商",INDEX(供应商信息维护!C:C,MATCH(银行日记账登记!L354,供应商信息维护!B:B,0)),""))</f>
        <v>HOME ILLESCAS S.L</v>
      </c>
      <c r="N354" t="s">
        <v>1309</v>
      </c>
      <c r="Q354" t="s">
        <v>79</v>
      </c>
      <c r="R354" t="s">
        <v>1311</v>
      </c>
    </row>
    <row r="355" spans="2:18" hidden="1" x14ac:dyDescent="0.25">
      <c r="B355" t="s">
        <v>55</v>
      </c>
      <c r="C355" t="s">
        <v>63</v>
      </c>
      <c r="I355">
        <v>5194.99</v>
      </c>
      <c r="J355" s="10">
        <v>45182</v>
      </c>
      <c r="K355" t="s">
        <v>100</v>
      </c>
      <c r="L355" s="1" t="s">
        <v>331</v>
      </c>
      <c r="M355" s="7" t="str">
        <f>IF(K355="收_客户",INDEX(客户信息维护!C:C,MATCH(银行日记账登记!L355,客户信息维护!B:B,0)),IF(K355="支_供应商",INDEX(供应商信息维护!C:C,MATCH(银行日记账登记!L355,供应商信息维护!B:B,0)),""))</f>
        <v>SHOPPING CENTER CHINATOWN S.L</v>
      </c>
      <c r="N355" t="s">
        <v>1312</v>
      </c>
      <c r="Q355" t="s">
        <v>79</v>
      </c>
      <c r="R355" t="s">
        <v>1313</v>
      </c>
    </row>
    <row r="356" spans="2:18" hidden="1" x14ac:dyDescent="0.25">
      <c r="B356" t="s">
        <v>55</v>
      </c>
      <c r="C356" t="s">
        <v>63</v>
      </c>
      <c r="I356">
        <v>2597.12</v>
      </c>
      <c r="J356" s="10">
        <v>45182</v>
      </c>
      <c r="K356" t="s">
        <v>100</v>
      </c>
      <c r="L356" s="1" t="s">
        <v>1215</v>
      </c>
      <c r="M356" s="7" t="str">
        <f>IF(K356="收_客户",INDEX(客户信息维护!C:C,MATCH(银行日记账登记!L356,客户信息维护!B:B,0)),IF(K356="支_供应商",INDEX(供应商信息维护!C:C,MATCH(银行日记账登记!L356,供应商信息维护!B:B,0)),""))</f>
        <v>CHOLLOS EL BARATO S.L</v>
      </c>
      <c r="N356" t="s">
        <v>1314</v>
      </c>
      <c r="P356" t="s">
        <v>303</v>
      </c>
      <c r="Q356" t="s">
        <v>79</v>
      </c>
      <c r="R356" t="s">
        <v>1315</v>
      </c>
    </row>
    <row r="357" spans="2:18" hidden="1" x14ac:dyDescent="0.25">
      <c r="B357" t="s">
        <v>60</v>
      </c>
      <c r="C357" t="s">
        <v>66</v>
      </c>
      <c r="I357">
        <v>1504.17</v>
      </c>
      <c r="J357" s="10">
        <v>45182</v>
      </c>
      <c r="K357" t="s">
        <v>100</v>
      </c>
      <c r="L357" s="16" t="s">
        <v>779</v>
      </c>
      <c r="M357" s="7" t="str">
        <f>IF(K357="收_客户",INDEX(客户信息维护!C:C,MATCH(银行日记账登记!L357,客户信息维护!B:B,0)),IF(K357="支_供应商",INDEX(供应商信息维护!C:C,MATCH(银行日记账登记!L357,供应商信息维护!B:B,0)),""))</f>
        <v>LIWEI JIANG</v>
      </c>
      <c r="N357" t="s">
        <v>1316</v>
      </c>
      <c r="Q357" t="s">
        <v>79</v>
      </c>
      <c r="R357" t="s">
        <v>1317</v>
      </c>
    </row>
    <row r="358" spans="2:18" hidden="1" x14ac:dyDescent="0.25">
      <c r="B358" t="s">
        <v>56</v>
      </c>
      <c r="C358" t="s">
        <v>127</v>
      </c>
      <c r="I358">
        <v>162.9</v>
      </c>
      <c r="J358" s="10">
        <v>45183</v>
      </c>
      <c r="K358" t="s">
        <v>100</v>
      </c>
      <c r="L358" s="1" t="s">
        <v>1318</v>
      </c>
      <c r="M358" s="7" t="str">
        <f>IF(K358="收_客户",INDEX(客户信息维护!C:C,MATCH(银行日记账登记!L358,客户信息维护!B:B,0)),IF(K358="支_供应商",INDEX(供应商信息维护!C:C,MATCH(银行日记账登记!L358,供应商信息维护!B:B,0)),""))</f>
        <v>XU CHEN</v>
      </c>
      <c r="N358" t="s">
        <v>1320</v>
      </c>
      <c r="P358" t="s">
        <v>533</v>
      </c>
      <c r="Q358" t="s">
        <v>79</v>
      </c>
      <c r="R358" t="s">
        <v>1324</v>
      </c>
    </row>
    <row r="359" spans="2:18" hidden="1" x14ac:dyDescent="0.25">
      <c r="B359" t="s">
        <v>56</v>
      </c>
      <c r="C359" t="s">
        <v>127</v>
      </c>
      <c r="I359">
        <v>206.77</v>
      </c>
      <c r="J359" s="10">
        <v>45183</v>
      </c>
      <c r="K359" t="s">
        <v>100</v>
      </c>
      <c r="L359" s="1" t="s">
        <v>1321</v>
      </c>
      <c r="M359" s="7" t="str">
        <f>IF(K359="收_客户",INDEX(客户信息维护!C:C,MATCH(银行日记账登记!L359,客户信息维护!B:B,0)),IF(K359="支_供应商",INDEX(供应商信息维护!C:C,MATCH(银行日记账登记!L359,供应商信息维护!B:B,0)),""))</f>
        <v>ALENANA 666 S.L</v>
      </c>
      <c r="N359" t="s">
        <v>1323</v>
      </c>
      <c r="P359" t="s">
        <v>533</v>
      </c>
      <c r="Q359" t="s">
        <v>79</v>
      </c>
      <c r="R359" t="s">
        <v>1325</v>
      </c>
    </row>
    <row r="360" spans="2:18" hidden="1" x14ac:dyDescent="0.25">
      <c r="B360" t="s">
        <v>55</v>
      </c>
      <c r="C360" t="s">
        <v>63</v>
      </c>
      <c r="I360">
        <v>750.38</v>
      </c>
      <c r="J360" s="10">
        <v>45182</v>
      </c>
      <c r="K360" t="s">
        <v>100</v>
      </c>
      <c r="L360" s="1" t="s">
        <v>1326</v>
      </c>
      <c r="M360" s="7" t="str">
        <f>IF(K360="收_客户",INDEX(客户信息维护!C:C,MATCH(银行日记账登记!L360,客户信息维护!B:B,0)),IF(K360="支_供应商",INDEX(供应商信息维护!C:C,MATCH(银行日记账登记!L360,供应商信息维护!B:B,0)),""))</f>
        <v>GRAN BAZAR LINSUN S.L</v>
      </c>
      <c r="N360" t="s">
        <v>1328</v>
      </c>
      <c r="Q360" t="s">
        <v>79</v>
      </c>
      <c r="R360" t="s">
        <v>1329</v>
      </c>
    </row>
    <row r="361" spans="2:18" hidden="1" x14ac:dyDescent="0.25">
      <c r="B361" t="s">
        <v>56</v>
      </c>
      <c r="C361" t="s">
        <v>127</v>
      </c>
      <c r="I361">
        <v>17256.34</v>
      </c>
      <c r="J361" s="10">
        <v>45183</v>
      </c>
      <c r="K361" t="s">
        <v>100</v>
      </c>
      <c r="L361" s="1" t="s">
        <v>1330</v>
      </c>
      <c r="M361" s="7" t="str">
        <f>IF(K361="收_客户",INDEX(客户信息维护!C:C,MATCH(银行日记账登记!L361,客户信息维护!B:B,0)),IF(K361="支_供应商",INDEX(供应商信息维护!C:C,MATCH(银行日记账登记!L361,供应商信息维护!B:B,0)),""))</f>
        <v>IUNTECH GALICIA S.L 齐力分公司</v>
      </c>
      <c r="N361" t="s">
        <v>1333</v>
      </c>
      <c r="Q361" t="s">
        <v>79</v>
      </c>
      <c r="R361" t="s">
        <v>1332</v>
      </c>
    </row>
    <row r="362" spans="2:18" hidden="1" x14ac:dyDescent="0.25">
      <c r="B362" t="s">
        <v>56</v>
      </c>
      <c r="C362" t="s">
        <v>127</v>
      </c>
      <c r="I362">
        <v>2114.37</v>
      </c>
      <c r="J362" s="10">
        <v>45184</v>
      </c>
      <c r="K362" t="s">
        <v>100</v>
      </c>
      <c r="L362" s="1" t="s">
        <v>313</v>
      </c>
      <c r="M362" s="7" t="str">
        <f>IF(K362="收_客户",INDEX(客户信息维护!C:C,MATCH(银行日记账登记!L362,客户信息维护!B:B,0)),IF(K362="支_供应商",INDEX(供应商信息维护!C:C,MATCH(银行日记账登记!L362,供应商信息维护!B:B,0)),""))</f>
        <v>MUNDOMAXI SL</v>
      </c>
      <c r="N362" t="s">
        <v>1334</v>
      </c>
      <c r="Q362" t="s">
        <v>79</v>
      </c>
      <c r="R362" t="s">
        <v>1335</v>
      </c>
    </row>
    <row r="363" spans="2:18" hidden="1" x14ac:dyDescent="0.25">
      <c r="B363" t="s">
        <v>55</v>
      </c>
      <c r="C363" t="s">
        <v>63</v>
      </c>
      <c r="I363">
        <v>9000</v>
      </c>
      <c r="J363" s="10">
        <v>45184</v>
      </c>
      <c r="K363" t="s">
        <v>100</v>
      </c>
      <c r="L363" s="1" t="s">
        <v>1255</v>
      </c>
      <c r="M363" s="7" t="str">
        <f>IF(K363="收_客户",INDEX(客户信息维护!C:C,MATCH(银行日记账登记!L363,客户信息维护!B:B,0)),IF(K363="支_供应商",INDEX(供应商信息维护!C:C,MATCH(银行日记账登记!L363,供应商信息维护!B:B,0)),""))</f>
        <v>COMERCIO IDEAL 2015 S.L 兄弟</v>
      </c>
      <c r="N363" t="s">
        <v>1336</v>
      </c>
      <c r="P363" t="s">
        <v>303</v>
      </c>
      <c r="Q363" t="s">
        <v>79</v>
      </c>
      <c r="R363" t="s">
        <v>1337</v>
      </c>
    </row>
    <row r="364" spans="2:18" hidden="1" x14ac:dyDescent="0.25">
      <c r="B364" t="s">
        <v>56</v>
      </c>
      <c r="C364" t="s">
        <v>127</v>
      </c>
      <c r="I364">
        <v>12021.1</v>
      </c>
      <c r="J364" s="10">
        <v>45184</v>
      </c>
      <c r="K364" t="s">
        <v>100</v>
      </c>
      <c r="L364" s="16" t="s">
        <v>1338</v>
      </c>
      <c r="M364" s="7" t="str">
        <f>IF(K364="收_客户",INDEX(客户信息维护!C:C,MATCH(银行日记账登记!L364,客户信息维护!B:B,0)),IF(K364="支_供应商",INDEX(供应商信息维护!C:C,MATCH(银行日记账登记!L364,供应商信息维护!B:B,0)),""))</f>
        <v>FOLIA ERUDITA UNIPESSOAL LDA 张耀</v>
      </c>
      <c r="N364" t="s">
        <v>1340</v>
      </c>
      <c r="Q364" t="s">
        <v>79</v>
      </c>
      <c r="R364" t="s">
        <v>1341</v>
      </c>
    </row>
    <row r="365" spans="2:18" hidden="1" x14ac:dyDescent="0.25">
      <c r="B365" t="s">
        <v>56</v>
      </c>
      <c r="C365" t="s">
        <v>127</v>
      </c>
      <c r="I365">
        <v>1324.49</v>
      </c>
      <c r="J365" s="10">
        <v>45184</v>
      </c>
      <c r="K365" t="s">
        <v>100</v>
      </c>
      <c r="L365" s="16" t="s">
        <v>304</v>
      </c>
      <c r="M365" s="7" t="str">
        <f>IF(K365="收_客户",INDEX(客户信息维护!C:C,MATCH(银行日记账登记!L365,客户信息维护!B:B,0)),IF(K365="支_供应商",INDEX(供应商信息维护!C:C,MATCH(银行日记账登记!L365,供应商信息维护!B:B,0)),""))</f>
        <v>EL AZRAK MERJANI HAMZA</v>
      </c>
      <c r="N365" t="s">
        <v>878</v>
      </c>
      <c r="Q365" t="s">
        <v>79</v>
      </c>
      <c r="R365" t="s">
        <v>1342</v>
      </c>
    </row>
    <row r="366" spans="2:18" hidden="1" x14ac:dyDescent="0.25">
      <c r="B366" t="s">
        <v>56</v>
      </c>
      <c r="C366" t="s">
        <v>127</v>
      </c>
      <c r="I366">
        <v>644.07000000000005</v>
      </c>
      <c r="J366" s="10">
        <v>45185</v>
      </c>
      <c r="K366" t="s">
        <v>100</v>
      </c>
      <c r="L366" s="1" t="s">
        <v>1343</v>
      </c>
      <c r="M366" s="7" t="str">
        <f>IF(K366="收_客户",INDEX(客户信息维护!C:C,MATCH(银行日记账登记!L366,客户信息维护!B:B,0)),IF(K366="支_供应商",INDEX(供应商信息维护!C:C,MATCH(银行日记账登记!L366,供应商信息维护!B:B,0)),""))</f>
        <v>GOOD HOME TORO S.L</v>
      </c>
      <c r="N366" t="s">
        <v>1345</v>
      </c>
      <c r="Q366" t="s">
        <v>79</v>
      </c>
      <c r="R366" t="s">
        <v>1351</v>
      </c>
    </row>
    <row r="367" spans="2:18" hidden="1" x14ac:dyDescent="0.25">
      <c r="B367" t="s">
        <v>56</v>
      </c>
      <c r="C367" t="s">
        <v>127</v>
      </c>
      <c r="I367">
        <v>371.41</v>
      </c>
      <c r="J367" s="10">
        <v>45185</v>
      </c>
      <c r="K367" t="s">
        <v>100</v>
      </c>
      <c r="L367" s="1" t="s">
        <v>283</v>
      </c>
      <c r="M367" s="7" t="str">
        <f>IF(K367="收_客户",INDEX(客户信息维护!C:C,MATCH(银行日记账登记!L367,客户信息维护!B:B,0)),IF(K367="支_供应商",INDEX(供应商信息维护!C:C,MATCH(银行日记账登记!L367,供应商信息维护!B:B,0)),""))</f>
        <v>GUOFENG LIANG</v>
      </c>
      <c r="N367" t="s">
        <v>1346</v>
      </c>
      <c r="Q367" t="s">
        <v>79</v>
      </c>
      <c r="R367" t="s">
        <v>1352</v>
      </c>
    </row>
    <row r="368" spans="2:18" hidden="1" x14ac:dyDescent="0.25">
      <c r="B368" t="s">
        <v>56</v>
      </c>
      <c r="C368" t="s">
        <v>127</v>
      </c>
      <c r="I368">
        <v>167.24</v>
      </c>
      <c r="J368" s="10">
        <v>45185</v>
      </c>
      <c r="K368" t="s">
        <v>100</v>
      </c>
      <c r="L368" s="1" t="s">
        <v>1347</v>
      </c>
      <c r="M368" s="7" t="str">
        <f>IF(K368="收_客户",INDEX(客户信息维护!C:C,MATCH(银行日记账登记!L368,客户信息维护!B:B,0)),IF(K368="支_供应商",INDEX(供应商信息维护!C:C,MATCH(银行日记账登记!L368,供应商信息维护!B:B,0)),""))</f>
        <v>QIAN WU</v>
      </c>
      <c r="N368" t="s">
        <v>1349</v>
      </c>
      <c r="Q368" t="s">
        <v>79</v>
      </c>
      <c r="R368" t="s">
        <v>1353</v>
      </c>
    </row>
    <row r="369" spans="2:18" hidden="1" x14ac:dyDescent="0.25">
      <c r="B369" t="s">
        <v>56</v>
      </c>
      <c r="C369" t="s">
        <v>127</v>
      </c>
      <c r="I369">
        <v>613.79</v>
      </c>
      <c r="J369" s="10">
        <v>45185</v>
      </c>
      <c r="K369" t="s">
        <v>100</v>
      </c>
      <c r="L369" s="1" t="s">
        <v>695</v>
      </c>
      <c r="M369" s="7" t="str">
        <f>IF(K369="收_客户",INDEX(客户信息维护!C:C,MATCH(银行日记账登记!L369,客户信息维护!B:B,0)),IF(K369="支_供应商",INDEX(供应商信息维护!C:C,MATCH(银行日记账登记!L369,供应商信息维护!B:B,0)),""))</f>
        <v>CHENG HONG</v>
      </c>
      <c r="N369" t="s">
        <v>1350</v>
      </c>
      <c r="Q369" t="s">
        <v>79</v>
      </c>
      <c r="R369" t="s">
        <v>1354</v>
      </c>
    </row>
    <row r="370" spans="2:18" hidden="1" x14ac:dyDescent="0.25">
      <c r="B370" t="s">
        <v>55</v>
      </c>
      <c r="C370" t="s">
        <v>63</v>
      </c>
      <c r="I370">
        <v>267.17</v>
      </c>
      <c r="J370" s="10">
        <v>45184</v>
      </c>
      <c r="K370" t="s">
        <v>100</v>
      </c>
      <c r="L370" s="1" t="s">
        <v>1355</v>
      </c>
      <c r="M370" s="7" t="str">
        <f>IF(K370="收_客户",INDEX(客户信息维护!C:C,MATCH(银行日记账登记!L370,客户信息维护!B:B,0)),IF(K370="支_供应商",INDEX(供应商信息维护!C:C,MATCH(银行日记账登记!L370,供应商信息维护!B:B,0)),""))</f>
        <v>JIANZHEN ZHANG</v>
      </c>
      <c r="N370" t="s">
        <v>1357</v>
      </c>
      <c r="Q370" t="s">
        <v>79</v>
      </c>
      <c r="R370" t="s">
        <v>1359</v>
      </c>
    </row>
    <row r="371" spans="2:18" hidden="1" x14ac:dyDescent="0.25">
      <c r="B371" t="s">
        <v>55</v>
      </c>
      <c r="C371" t="s">
        <v>63</v>
      </c>
      <c r="I371">
        <v>1009.12</v>
      </c>
      <c r="J371" s="10">
        <v>45184</v>
      </c>
      <c r="K371" t="s">
        <v>100</v>
      </c>
      <c r="L371" s="1" t="s">
        <v>632</v>
      </c>
      <c r="M371" s="7" t="str">
        <f>IF(K371="收_客户",INDEX(客户信息维护!C:C,MATCH(银行日记账登记!L371,客户信息维护!B:B,0)),IF(K371="支_供应商",INDEX(供应商信息维护!C:C,MATCH(银行日记账登记!L371,供应商信息维护!B:B,0)),""))</f>
        <v>LIDI JIN</v>
      </c>
      <c r="N371" t="s">
        <v>1358</v>
      </c>
      <c r="Q371" t="s">
        <v>79</v>
      </c>
      <c r="R371" t="s">
        <v>1360</v>
      </c>
    </row>
    <row r="372" spans="2:18" hidden="1" x14ac:dyDescent="0.25">
      <c r="B372" t="s">
        <v>55</v>
      </c>
      <c r="C372" t="s">
        <v>63</v>
      </c>
      <c r="I372">
        <v>1266.07</v>
      </c>
      <c r="J372" s="10">
        <v>45187</v>
      </c>
      <c r="K372" t="s">
        <v>100</v>
      </c>
      <c r="L372" s="1" t="s">
        <v>129</v>
      </c>
      <c r="M372" s="7" t="str">
        <f>IF(K372="收_客户",INDEX(客户信息维护!C:C,MATCH(银行日记账登记!L372,客户信息维护!B:B,0)),IF(K372="支_供应商",INDEX(供应商信息维护!C:C,MATCH(银行日记账登记!L372,供应商信息维护!B:B,0)),""))</f>
        <v>GUANHAI DU</v>
      </c>
      <c r="N372" t="s">
        <v>1361</v>
      </c>
      <c r="Q372" t="s">
        <v>79</v>
      </c>
      <c r="R372" t="s">
        <v>1362</v>
      </c>
    </row>
    <row r="373" spans="2:18" hidden="1" x14ac:dyDescent="0.25">
      <c r="B373" t="s">
        <v>55</v>
      </c>
      <c r="C373" t="s">
        <v>63</v>
      </c>
      <c r="I373">
        <v>2004.54</v>
      </c>
      <c r="J373" s="10">
        <v>45187</v>
      </c>
      <c r="K373" t="s">
        <v>100</v>
      </c>
      <c r="L373" s="1" t="s">
        <v>557</v>
      </c>
      <c r="M373" s="7" t="str">
        <f>IF(K373="收_客户",INDEX(客户信息维护!C:C,MATCH(银行日记账登记!L373,客户信息维护!B:B,0)),IF(K373="支_供应商",INDEX(供应商信息维护!C:C,MATCH(银行日记账登记!L373,供应商信息维护!B:B,0)),""))</f>
        <v>BAZARHU 2020 S.L</v>
      </c>
      <c r="N373" t="s">
        <v>1363</v>
      </c>
      <c r="P373" t="s">
        <v>303</v>
      </c>
      <c r="Q373" t="s">
        <v>79</v>
      </c>
      <c r="R373" t="s">
        <v>1364</v>
      </c>
    </row>
    <row r="374" spans="2:18" hidden="1" x14ac:dyDescent="0.25">
      <c r="B374" t="s">
        <v>55</v>
      </c>
      <c r="C374" t="s">
        <v>148</v>
      </c>
      <c r="I374">
        <v>1135.72</v>
      </c>
      <c r="J374" s="10">
        <v>45182</v>
      </c>
      <c r="K374" t="s">
        <v>100</v>
      </c>
      <c r="L374" s="1" t="s">
        <v>1365</v>
      </c>
      <c r="M374" s="7" t="str">
        <f>IF(K374="收_客户",INDEX(客户信息维护!C:C,MATCH(银行日记账登记!L374,客户信息维护!B:B,0)),IF(K374="支_供应商",INDEX(供应商信息维护!C:C,MATCH(银行日记账登记!L374,供应商信息维护!B:B,0)),""))</f>
        <v>SHIXIN TECHNOLOGY S.L.U 海威特</v>
      </c>
      <c r="N374" t="s">
        <v>1367</v>
      </c>
      <c r="Q374" t="s">
        <v>79</v>
      </c>
      <c r="R374" t="s">
        <v>1368</v>
      </c>
    </row>
    <row r="375" spans="2:18" hidden="1" x14ac:dyDescent="0.25">
      <c r="B375" t="s">
        <v>56</v>
      </c>
      <c r="C375" t="s">
        <v>127</v>
      </c>
      <c r="I375">
        <v>403.38</v>
      </c>
      <c r="J375" s="10">
        <v>45187</v>
      </c>
      <c r="K375" t="s">
        <v>100</v>
      </c>
      <c r="L375" s="16" t="s">
        <v>304</v>
      </c>
      <c r="M375" s="7" t="str">
        <f>IF(K375="收_客户",INDEX(客户信息维护!C:C,MATCH(银行日记账登记!L375,客户信息维护!B:B,0)),IF(K375="支_供应商",INDEX(供应商信息维护!C:C,MATCH(银行日记账登记!L375,供应商信息维护!B:B,0)),""))</f>
        <v>EL AZRAK MERJANI HAMZA</v>
      </c>
      <c r="N375" t="s">
        <v>1369</v>
      </c>
      <c r="Q375" t="s">
        <v>79</v>
      </c>
      <c r="R375" t="s">
        <v>1371</v>
      </c>
    </row>
    <row r="376" spans="2:18" hidden="1" x14ac:dyDescent="0.25">
      <c r="B376" t="s">
        <v>56</v>
      </c>
      <c r="C376" t="s">
        <v>127</v>
      </c>
      <c r="I376">
        <v>197.12</v>
      </c>
      <c r="J376" s="10">
        <v>45187</v>
      </c>
      <c r="K376" t="s">
        <v>100</v>
      </c>
      <c r="L376" s="1" t="s">
        <v>1307</v>
      </c>
      <c r="M376" s="7" t="str">
        <f>IF(K376="收_客户",INDEX(客户信息维护!C:C,MATCH(银行日记账登记!L376,客户信息维护!B:B,0)),IF(K376="支_供应商",INDEX(供应商信息维护!C:C,MATCH(银行日记账登记!L376,供应商信息维护!B:B,0)),""))</f>
        <v>HOME ILLESCAS S.L</v>
      </c>
      <c r="N376" t="s">
        <v>1370</v>
      </c>
      <c r="Q376" t="s">
        <v>79</v>
      </c>
      <c r="R376" t="s">
        <v>1372</v>
      </c>
    </row>
    <row r="377" spans="2:18" hidden="1" x14ac:dyDescent="0.25">
      <c r="B377" t="s">
        <v>55</v>
      </c>
      <c r="C377" t="s">
        <v>63</v>
      </c>
      <c r="I377">
        <v>546.42999999999995</v>
      </c>
      <c r="J377" s="10">
        <v>45187</v>
      </c>
      <c r="K377" t="s">
        <v>100</v>
      </c>
      <c r="L377" s="1" t="s">
        <v>541</v>
      </c>
      <c r="M377" s="7" t="str">
        <f>IF(K377="收_客户",INDEX(客户信息维护!C:C,MATCH(银行日记账登记!L377,客户信息维护!B:B,0)),IF(K377="支_供应商",INDEX(供应商信息维护!C:C,MATCH(银行日记账登记!L377,供应商信息维护!B:B,0)),""))</f>
        <v>XINGFA 2021 S.L</v>
      </c>
      <c r="N377" t="s">
        <v>1373</v>
      </c>
      <c r="Q377" t="s">
        <v>79</v>
      </c>
      <c r="R377" t="s">
        <v>1377</v>
      </c>
    </row>
    <row r="378" spans="2:18" hidden="1" x14ac:dyDescent="0.25">
      <c r="B378" t="s">
        <v>55</v>
      </c>
      <c r="C378" t="s">
        <v>63</v>
      </c>
      <c r="I378">
        <v>506.69</v>
      </c>
      <c r="J378" s="10">
        <v>45188</v>
      </c>
      <c r="K378" t="s">
        <v>100</v>
      </c>
      <c r="L378" s="1" t="s">
        <v>1374</v>
      </c>
      <c r="M378" s="7" t="str">
        <f>IF(K378="收_客户",INDEX(客户信息维护!C:C,MATCH(银行日记账登记!L378,客户信息维护!B:B,0)),IF(K378="支_供应商",INDEX(供应商信息维护!C:C,MATCH(银行日记账登记!L378,供应商信息维护!B:B,0)),""))</f>
        <v>LEI YANG</v>
      </c>
      <c r="N378" t="s">
        <v>1376</v>
      </c>
      <c r="Q378" t="s">
        <v>79</v>
      </c>
      <c r="R378" t="s">
        <v>1378</v>
      </c>
    </row>
    <row r="379" spans="2:18" hidden="1" x14ac:dyDescent="0.25">
      <c r="B379" t="s">
        <v>55</v>
      </c>
      <c r="C379" t="s">
        <v>63</v>
      </c>
      <c r="I379">
        <v>708.71</v>
      </c>
      <c r="J379" s="10">
        <v>45188</v>
      </c>
      <c r="K379" t="s">
        <v>100</v>
      </c>
      <c r="L379" s="1" t="s">
        <v>1379</v>
      </c>
      <c r="M379" s="7" t="str">
        <f>IF(K379="收_客户",INDEX(客户信息维护!C:C,MATCH(银行日记账登记!L379,客户信息维护!B:B,0)),IF(K379="支_供应商",INDEX(供应商信息维护!C:C,MATCH(银行日记账登记!L379,供应商信息维护!B:B,0)),""))</f>
        <v>HIPER CHINO CIUTADELLA S.L</v>
      </c>
      <c r="N379" t="s">
        <v>1381</v>
      </c>
      <c r="P379" t="s">
        <v>303</v>
      </c>
      <c r="Q379" t="s">
        <v>79</v>
      </c>
      <c r="R379" t="s">
        <v>1382</v>
      </c>
    </row>
    <row r="380" spans="2:18" hidden="1" x14ac:dyDescent="0.25">
      <c r="B380" t="s">
        <v>56</v>
      </c>
      <c r="C380" t="s">
        <v>127</v>
      </c>
      <c r="I380">
        <v>393.8</v>
      </c>
      <c r="J380" s="10">
        <v>45188</v>
      </c>
      <c r="K380" t="s">
        <v>100</v>
      </c>
      <c r="L380" s="1" t="s">
        <v>996</v>
      </c>
      <c r="M380" s="7" t="str">
        <f>IF(K380="收_客户",INDEX(客户信息维护!C:C,MATCH(银行日记账登记!L380,客户信息维护!B:B,0)),IF(K380="支_供应商",INDEX(供应商信息维护!C:C,MATCH(银行日记账登记!L380,供应商信息维护!B:B,0)),""))</f>
        <v>MARKET FAMILY XU S.L</v>
      </c>
      <c r="N380" t="s">
        <v>1383</v>
      </c>
      <c r="Q380" t="s">
        <v>79</v>
      </c>
      <c r="R380" t="s">
        <v>1385</v>
      </c>
    </row>
    <row r="381" spans="2:18" hidden="1" x14ac:dyDescent="0.25">
      <c r="B381" t="s">
        <v>56</v>
      </c>
      <c r="C381" t="s">
        <v>127</v>
      </c>
      <c r="I381">
        <v>1098.1300000000001</v>
      </c>
      <c r="J381" s="10">
        <v>45189</v>
      </c>
      <c r="K381" t="s">
        <v>100</v>
      </c>
      <c r="L381" s="1" t="s">
        <v>510</v>
      </c>
      <c r="M381" s="7" t="str">
        <f>IF(K381="收_客户",INDEX(客户信息维护!C:C,MATCH(银行日记账登记!L381,客户信息维护!B:B,0)),IF(K381="支_供应商",INDEX(供应商信息维护!C:C,MATCH(银行日记账登记!L381,供应商信息维护!B:B,0)),""))</f>
        <v>BASAR LLUIS COMPANYS S.L</v>
      </c>
      <c r="N381" t="s">
        <v>1384</v>
      </c>
      <c r="Q381" t="s">
        <v>79</v>
      </c>
      <c r="R381" t="s">
        <v>1386</v>
      </c>
    </row>
    <row r="382" spans="2:18" hidden="1" x14ac:dyDescent="0.25">
      <c r="B382" t="s">
        <v>55</v>
      </c>
      <c r="C382" t="s">
        <v>63</v>
      </c>
      <c r="I382">
        <v>285.98</v>
      </c>
      <c r="J382" s="10">
        <v>45188</v>
      </c>
      <c r="K382" t="s">
        <v>100</v>
      </c>
      <c r="L382" s="1" t="s">
        <v>806</v>
      </c>
      <c r="M382" s="7" t="str">
        <f>IF(K382="收_客户",INDEX(客户信息维护!C:C,MATCH(银行日记账登记!L382,客户信息维护!B:B,0)),IF(K382="支_供应商",INDEX(供应商信息维护!C:C,MATCH(银行日记账登记!L382,供应商信息维护!B:B,0)),""))</f>
        <v>COMERCIALIZACIONES DIAMANTE S.L</v>
      </c>
      <c r="N382" t="s">
        <v>1387</v>
      </c>
      <c r="Q382" t="s">
        <v>79</v>
      </c>
      <c r="R382" t="s">
        <v>1391</v>
      </c>
    </row>
    <row r="383" spans="2:18" hidden="1" x14ac:dyDescent="0.25">
      <c r="B383" t="s">
        <v>55</v>
      </c>
      <c r="C383" t="s">
        <v>63</v>
      </c>
      <c r="I383">
        <v>595.46</v>
      </c>
      <c r="J383" s="10">
        <v>45189</v>
      </c>
      <c r="K383" t="s">
        <v>100</v>
      </c>
      <c r="L383" s="1" t="s">
        <v>1388</v>
      </c>
      <c r="M383" s="7" t="str">
        <f>IF(K383="收_客户",INDEX(客户信息维护!C:C,MATCH(银行日记账登记!L383,客户信息维护!B:B,0)),IF(K383="支_供应商",INDEX(供应商信息维护!C:C,MATCH(银行日记账登记!L383,供应商信息维护!B:B,0)),""))</f>
        <v>J&amp;C REPARACIONES Y ACCEORIO DE MOVILES S.L 超能</v>
      </c>
      <c r="N383" t="s">
        <v>1390</v>
      </c>
      <c r="Q383" t="s">
        <v>79</v>
      </c>
      <c r="R383" t="s">
        <v>1392</v>
      </c>
    </row>
    <row r="384" spans="2:18" hidden="1" x14ac:dyDescent="0.25">
      <c r="B384" t="s">
        <v>55</v>
      </c>
      <c r="C384" t="s">
        <v>63</v>
      </c>
      <c r="I384">
        <v>3310.28</v>
      </c>
      <c r="J384" s="10">
        <v>45189</v>
      </c>
      <c r="K384" t="s">
        <v>100</v>
      </c>
      <c r="L384" s="1" t="s">
        <v>1393</v>
      </c>
      <c r="M384" s="7" t="str">
        <f>IF(K384="收_客户",INDEX(客户信息维护!C:C,MATCH(银行日记账登记!L384,客户信息维护!B:B,0)),IF(K384="支_供应商",INDEX(供应商信息维护!C:C,MATCH(银行日记账登记!L384,供应商信息维护!B:B,0)),""))</f>
        <v>CASA DEL SURESTE S.L 万泰</v>
      </c>
      <c r="N384" t="s">
        <v>1395</v>
      </c>
      <c r="P384" t="s">
        <v>303</v>
      </c>
      <c r="Q384" t="s">
        <v>79</v>
      </c>
      <c r="R384" t="s">
        <v>1396</v>
      </c>
    </row>
    <row r="385" spans="2:18" hidden="1" x14ac:dyDescent="0.25">
      <c r="B385" t="s">
        <v>60</v>
      </c>
      <c r="C385" t="s">
        <v>66</v>
      </c>
      <c r="I385">
        <v>1307.04</v>
      </c>
      <c r="J385" s="10">
        <v>45189</v>
      </c>
      <c r="K385" t="s">
        <v>100</v>
      </c>
      <c r="L385" s="16" t="s">
        <v>1397</v>
      </c>
      <c r="M385" s="7" t="str">
        <f>IF(K385="收_客户",INDEX(客户信息维护!C:C,MATCH(银行日记账登记!L385,客户信息维护!B:B,0)),IF(K385="支_供应商",INDEX(供应商信息维护!C:C,MATCH(银行日记账登记!L385,供应商信息维护!B:B,0)),""))</f>
        <v>CIDADE DA FAMA - UNIPESSOAL LDA 王永伟</v>
      </c>
      <c r="N385" t="s">
        <v>1399</v>
      </c>
      <c r="Q385" t="s">
        <v>79</v>
      </c>
      <c r="R385" t="s">
        <v>1400</v>
      </c>
    </row>
    <row r="386" spans="2:18" hidden="1" x14ac:dyDescent="0.25">
      <c r="B386" t="s">
        <v>60</v>
      </c>
      <c r="C386" t="s">
        <v>350</v>
      </c>
      <c r="I386">
        <v>5007.3</v>
      </c>
      <c r="J386" s="10">
        <v>45189</v>
      </c>
      <c r="K386" t="s">
        <v>100</v>
      </c>
      <c r="L386" s="16" t="s">
        <v>1401</v>
      </c>
      <c r="M386" s="7" t="str">
        <f>IF(K386="收_客户",INDEX(客户信息维护!C:C,MATCH(银行日记账登记!L386,客户信息维护!B:B,0)),IF(K386="支_供应商",INDEX(供应商信息维护!C:C,MATCH(银行日记账登记!L386,供应商信息维护!B:B,0)),""))</f>
        <v>ZHAO LIHUA</v>
      </c>
      <c r="N386" t="s">
        <v>1403</v>
      </c>
      <c r="Q386" t="s">
        <v>79</v>
      </c>
      <c r="R386" t="s">
        <v>1404</v>
      </c>
    </row>
    <row r="387" spans="2:18" hidden="1" x14ac:dyDescent="0.25">
      <c r="B387" t="s">
        <v>55</v>
      </c>
      <c r="C387" t="s">
        <v>63</v>
      </c>
      <c r="I387">
        <v>1866</v>
      </c>
      <c r="J387" s="10">
        <v>45189</v>
      </c>
      <c r="K387" t="s">
        <v>100</v>
      </c>
      <c r="L387" s="1" t="s">
        <v>761</v>
      </c>
      <c r="M387" s="7" t="str">
        <f>IF(K387="收_客户",INDEX(客户信息维护!C:C,MATCH(银行日记账登记!L387,客户信息维护!B:B,0)),IF(K387="支_供应商",INDEX(供应商信息维护!C:C,MATCH(银行日记账登记!L387,供应商信息维护!B:B,0)),""))</f>
        <v>MARKET RUBI 2018 S.L</v>
      </c>
      <c r="N387" t="s">
        <v>1405</v>
      </c>
      <c r="Q387" t="s">
        <v>79</v>
      </c>
      <c r="R387" t="s">
        <v>1406</v>
      </c>
    </row>
    <row r="388" spans="2:18" hidden="1" x14ac:dyDescent="0.25">
      <c r="B388" t="s">
        <v>56</v>
      </c>
      <c r="C388" t="s">
        <v>127</v>
      </c>
      <c r="I388">
        <v>1157.3499999999999</v>
      </c>
      <c r="J388" s="10">
        <v>45190</v>
      </c>
      <c r="K388" t="s">
        <v>100</v>
      </c>
      <c r="L388" s="1" t="s">
        <v>1407</v>
      </c>
      <c r="M388" s="7" t="str">
        <f>IF(K388="收_客户",INDEX(客户信息维护!C:C,MATCH(银行日记账登记!L388,客户信息维护!B:B,0)),IF(K388="支_供应商",INDEX(供应商信息维护!C:C,MATCH(银行日记账登记!L388,供应商信息维护!B:B,0)),""))</f>
        <v>CHENGXIN ZHANG</v>
      </c>
      <c r="N388" t="s">
        <v>1409</v>
      </c>
      <c r="Q388" t="s">
        <v>79</v>
      </c>
      <c r="R388" t="s">
        <v>1413</v>
      </c>
    </row>
    <row r="389" spans="2:18" hidden="1" x14ac:dyDescent="0.25">
      <c r="B389" t="s">
        <v>56</v>
      </c>
      <c r="C389" t="s">
        <v>127</v>
      </c>
      <c r="I389">
        <v>540.29999999999995</v>
      </c>
      <c r="J389" s="10">
        <v>45190</v>
      </c>
      <c r="K389" t="s">
        <v>100</v>
      </c>
      <c r="L389" s="1" t="s">
        <v>1410</v>
      </c>
      <c r="M389" s="7" t="str">
        <f>IF(K389="收_客户",INDEX(客户信息维护!C:C,MATCH(银行日记账登记!L389,客户信息维护!B:B,0)),IF(K389="支_供应商",INDEX(供应商信息维护!C:C,MATCH(银行日记账登记!L389,供应商信息维护!B:B,0)),""))</f>
        <v>D&amp;D DECOR 2021 S.L</v>
      </c>
      <c r="N389" t="s">
        <v>1412</v>
      </c>
      <c r="Q389" t="s">
        <v>79</v>
      </c>
      <c r="R389" t="s">
        <v>1414</v>
      </c>
    </row>
    <row r="390" spans="2:18" hidden="1" x14ac:dyDescent="0.25">
      <c r="B390" t="s">
        <v>55</v>
      </c>
      <c r="C390" t="s">
        <v>63</v>
      </c>
      <c r="I390">
        <v>3828.9</v>
      </c>
      <c r="J390" s="10">
        <v>45189</v>
      </c>
      <c r="K390" t="s">
        <v>100</v>
      </c>
      <c r="L390" s="1" t="s">
        <v>1208</v>
      </c>
      <c r="M390" s="7" t="str">
        <f>IF(K390="收_客户",INDEX(客户信息维护!C:C,MATCH(银行日记账登记!L390,客户信息维护!B:B,0)),IF(K390="支_供应商",INDEX(供应商信息维护!C:C,MATCH(银行日记账登记!L390,供应商信息维护!B:B,0)),""))</f>
        <v>CASH HOGAR CANARIAS S.L</v>
      </c>
      <c r="N390" t="s">
        <v>1415</v>
      </c>
      <c r="Q390" t="s">
        <v>79</v>
      </c>
      <c r="R390" t="s">
        <v>1431</v>
      </c>
    </row>
    <row r="391" spans="2:18" hidden="1" x14ac:dyDescent="0.25">
      <c r="B391" t="s">
        <v>55</v>
      </c>
      <c r="C391" t="s">
        <v>63</v>
      </c>
      <c r="I391">
        <v>241.62</v>
      </c>
      <c r="J391" s="10">
        <v>45190</v>
      </c>
      <c r="K391" t="s">
        <v>100</v>
      </c>
      <c r="L391" s="1" t="s">
        <v>1416</v>
      </c>
      <c r="M391" s="7" t="str">
        <f>IF(K391="收_客户",INDEX(客户信息维护!C:C,MATCH(银行日记账登记!L391,客户信息维护!B:B,0)),IF(K391="支_供应商",INDEX(供应商信息维护!C:C,MATCH(银行日记账登记!L391,供应商信息维护!B:B,0)),""))</f>
        <v>YIZHONGTIAN S.L FTS23/0002076</v>
      </c>
      <c r="N391" t="s">
        <v>1418</v>
      </c>
      <c r="Q391" t="s">
        <v>79</v>
      </c>
      <c r="R391" t="s">
        <v>1432</v>
      </c>
    </row>
    <row r="392" spans="2:18" hidden="1" x14ac:dyDescent="0.25">
      <c r="B392" t="s">
        <v>55</v>
      </c>
      <c r="C392" t="s">
        <v>63</v>
      </c>
      <c r="I392">
        <v>480.74</v>
      </c>
      <c r="J392" s="10">
        <v>45190</v>
      </c>
      <c r="K392" t="s">
        <v>100</v>
      </c>
      <c r="L392" s="1" t="s">
        <v>817</v>
      </c>
      <c r="M392" s="7" t="str">
        <f>IF(K392="收_客户",INDEX(客户信息维护!C:C,MATCH(银行日记账登记!L392,客户信息维护!B:B,0)),IF(K392="支_供应商",INDEX(供应商信息维护!C:C,MATCH(银行日记账登记!L392,供应商信息维护!B:B,0)),""))</f>
        <v>LUOJUN WANG</v>
      </c>
      <c r="N392" t="s">
        <v>1419</v>
      </c>
      <c r="Q392" t="s">
        <v>79</v>
      </c>
      <c r="R392" t="s">
        <v>1433</v>
      </c>
    </row>
    <row r="393" spans="2:18" hidden="1" x14ac:dyDescent="0.25">
      <c r="B393" t="s">
        <v>55</v>
      </c>
      <c r="C393" t="s">
        <v>63</v>
      </c>
      <c r="I393">
        <v>824.37</v>
      </c>
      <c r="J393" s="10">
        <v>45190</v>
      </c>
      <c r="K393" t="s">
        <v>100</v>
      </c>
      <c r="L393" s="1" t="s">
        <v>582</v>
      </c>
      <c r="M393" s="7" t="str">
        <f>IF(K393="收_客户",INDEX(客户信息维护!C:C,MATCH(银行日记账登记!L393,客户信息维护!B:B,0)),IF(K393="支_供应商",INDEX(供应商信息维护!C:C,MATCH(银行日记账登记!L393,供应商信息维护!B:B,0)),""))</f>
        <v>FU LIN</v>
      </c>
      <c r="N393" t="s">
        <v>1422</v>
      </c>
      <c r="Q393" t="s">
        <v>79</v>
      </c>
      <c r="R393" t="s">
        <v>1434</v>
      </c>
    </row>
    <row r="394" spans="2:18" hidden="1" x14ac:dyDescent="0.25">
      <c r="B394" t="s">
        <v>55</v>
      </c>
      <c r="C394" t="s">
        <v>63</v>
      </c>
      <c r="I394">
        <v>1227.72</v>
      </c>
      <c r="J394" s="10">
        <v>45190</v>
      </c>
      <c r="K394" t="s">
        <v>100</v>
      </c>
      <c r="L394" s="1" t="s">
        <v>1423</v>
      </c>
      <c r="M394" s="7" t="str">
        <f>IF(K394="收_客户",INDEX(客户信息维护!C:C,MATCH(银行日记账登记!L394,客户信息维护!B:B,0)),IF(K394="支_供应商",INDEX(供应商信息维护!C:C,MATCH(银行日记账登记!L394,供应商信息维护!B:B,0)),""))</f>
        <v>BAZAR KIRIN S.L</v>
      </c>
      <c r="N394" t="s">
        <v>1425</v>
      </c>
      <c r="Q394" t="s">
        <v>79</v>
      </c>
      <c r="R394" t="s">
        <v>1435</v>
      </c>
    </row>
    <row r="395" spans="2:18" hidden="1" x14ac:dyDescent="0.25">
      <c r="B395" t="s">
        <v>55</v>
      </c>
      <c r="C395" t="s">
        <v>63</v>
      </c>
      <c r="I395">
        <v>556.1</v>
      </c>
      <c r="J395" s="10">
        <v>45191</v>
      </c>
      <c r="K395" t="s">
        <v>100</v>
      </c>
      <c r="L395" s="1" t="s">
        <v>1426</v>
      </c>
      <c r="M395" s="7" t="str">
        <f>IF(K395="收_客户",INDEX(客户信息维护!C:C,MATCH(银行日记账登记!L395,客户信息维护!B:B,0)),IF(K395="支_供应商",INDEX(供应商信息维护!C:C,MATCH(银行日记账登记!L395,供应商信息维护!B:B,0)),""))</f>
        <v>BIYU GUAN</v>
      </c>
      <c r="N395" t="s">
        <v>1428</v>
      </c>
      <c r="Q395" t="s">
        <v>79</v>
      </c>
      <c r="R395" t="s">
        <v>1436</v>
      </c>
    </row>
    <row r="396" spans="2:18" hidden="1" x14ac:dyDescent="0.25">
      <c r="B396" t="s">
        <v>55</v>
      </c>
      <c r="C396" t="s">
        <v>63</v>
      </c>
      <c r="I396">
        <v>9000</v>
      </c>
      <c r="J396" s="10">
        <v>45191</v>
      </c>
      <c r="K396" t="s">
        <v>100</v>
      </c>
      <c r="L396" s="1" t="s">
        <v>1255</v>
      </c>
      <c r="M396" s="7" t="str">
        <f>IF(K396="收_客户",INDEX(客户信息维护!C:C,MATCH(银行日记账登记!L396,客户信息维护!B:B,0)),IF(K396="支_供应商",INDEX(供应商信息维护!C:C,MATCH(银行日记账登记!L396,供应商信息维护!B:B,0)),""))</f>
        <v>COMERCIO IDEAL 2015 S.L 兄弟</v>
      </c>
      <c r="N396" t="s">
        <v>1429</v>
      </c>
      <c r="P396" t="s">
        <v>303</v>
      </c>
      <c r="Q396" t="s">
        <v>79</v>
      </c>
      <c r="R396" t="s">
        <v>1437</v>
      </c>
    </row>
    <row r="397" spans="2:18" hidden="1" x14ac:dyDescent="0.25">
      <c r="B397" t="s">
        <v>55</v>
      </c>
      <c r="C397" t="s">
        <v>63</v>
      </c>
      <c r="I397">
        <v>708.71</v>
      </c>
      <c r="J397" s="10">
        <v>45191</v>
      </c>
      <c r="K397" t="s">
        <v>100</v>
      </c>
      <c r="L397" s="1" t="s">
        <v>764</v>
      </c>
      <c r="M397" s="7" t="str">
        <f>IF(K397="收_客户",INDEX(客户信息维护!C:C,MATCH(银行日记账登记!L397,客户信息维护!B:B,0)),IF(K397="支_供应商",INDEX(供应商信息维护!C:C,MATCH(银行日记账登记!L397,供应商信息维护!B:B,0)),""))</f>
        <v>HIPER ES XINES S.L</v>
      </c>
      <c r="N397" t="s">
        <v>1430</v>
      </c>
      <c r="P397" t="s">
        <v>303</v>
      </c>
      <c r="Q397" t="s">
        <v>79</v>
      </c>
      <c r="R397" t="s">
        <v>1438</v>
      </c>
    </row>
    <row r="398" spans="2:18" hidden="1" x14ac:dyDescent="0.25">
      <c r="B398" t="s">
        <v>60</v>
      </c>
      <c r="C398" t="s">
        <v>66</v>
      </c>
      <c r="I398">
        <v>717.11</v>
      </c>
      <c r="J398" s="10">
        <v>45190</v>
      </c>
      <c r="K398" t="s">
        <v>100</v>
      </c>
      <c r="L398" s="16" t="s">
        <v>1439</v>
      </c>
      <c r="M398" s="7" t="str">
        <f>IF(K398="收_客户",INDEX(客户信息维护!C:C,MATCH(银行日记账登记!L398,客户信息维护!B:B,0)),IF(K398="支_供应商",INDEX(供应商信息维护!C:C,MATCH(银行日记账登记!L398,供应商信息维护!B:B,0)),""))</f>
        <v>SHAN CHUNE</v>
      </c>
      <c r="N398" t="s">
        <v>1441</v>
      </c>
      <c r="Q398" t="s">
        <v>79</v>
      </c>
      <c r="R398" t="s">
        <v>1445</v>
      </c>
    </row>
    <row r="399" spans="2:18" hidden="1" x14ac:dyDescent="0.25">
      <c r="B399" t="s">
        <v>60</v>
      </c>
      <c r="C399" t="s">
        <v>66</v>
      </c>
      <c r="I399">
        <v>678.06</v>
      </c>
      <c r="J399" s="10">
        <v>45190</v>
      </c>
      <c r="K399" t="s">
        <v>100</v>
      </c>
      <c r="L399" s="16" t="s">
        <v>1442</v>
      </c>
      <c r="M399" s="7" t="str">
        <f>IF(K399="收_客户",INDEX(客户信息维护!C:C,MATCH(银行日记账登记!L399,客户信息维护!B:B,0)),IF(K399="支_供应商",INDEX(供应商信息维护!C:C,MATCH(银行日记账登记!L399,供应商信息维护!B:B,0)),""))</f>
        <v>CIDADE REALCE LDA 王永伟</v>
      </c>
      <c r="N399" t="s">
        <v>1444</v>
      </c>
      <c r="Q399" t="s">
        <v>79</v>
      </c>
      <c r="R399" t="s">
        <v>1446</v>
      </c>
    </row>
    <row r="400" spans="2:18" hidden="1" x14ac:dyDescent="0.25">
      <c r="B400" t="s">
        <v>56</v>
      </c>
      <c r="C400" t="s">
        <v>127</v>
      </c>
      <c r="I400">
        <v>2076.25</v>
      </c>
      <c r="J400" s="10">
        <v>45192</v>
      </c>
      <c r="K400" t="s">
        <v>100</v>
      </c>
      <c r="L400" s="1" t="s">
        <v>1447</v>
      </c>
      <c r="M400" s="7" t="str">
        <f>IF(K400="收_客户",INDEX(客户信息维护!C:C,MATCH(银行日记账登记!L400,客户信息维护!B:B,0)),IF(K400="支_供应商",INDEX(供应商信息维护!C:C,MATCH(银行日记账登记!L400,供应商信息维护!B:B,0)),""))</f>
        <v>XIAODIE YE</v>
      </c>
      <c r="N400" t="s">
        <v>1449</v>
      </c>
      <c r="Q400" t="s">
        <v>79</v>
      </c>
      <c r="R400" t="s">
        <v>1450</v>
      </c>
    </row>
    <row r="401" spans="2:18" hidden="1" x14ac:dyDescent="0.25">
      <c r="B401" t="s">
        <v>56</v>
      </c>
      <c r="C401" t="s">
        <v>63</v>
      </c>
      <c r="I401">
        <v>497.95</v>
      </c>
      <c r="J401" s="10">
        <v>45191</v>
      </c>
      <c r="K401" t="s">
        <v>100</v>
      </c>
      <c r="L401" s="1" t="s">
        <v>1451</v>
      </c>
      <c r="M401" s="7" t="str">
        <f>IF(K401="收_客户",INDEX(客户信息维护!C:C,MATCH(银行日记账登记!L401,客户信息维护!B:B,0)),IF(K401="支_供应商",INDEX(供应商信息维护!C:C,MATCH(银行日记账登记!L401,供应商信息维护!B:B,0)),""))</f>
        <v>BEST DECORACION HOUSE S.L</v>
      </c>
      <c r="N401" t="s">
        <v>1453</v>
      </c>
      <c r="Q401" t="s">
        <v>79</v>
      </c>
      <c r="R401" t="s">
        <v>1454</v>
      </c>
    </row>
    <row r="402" spans="2:18" hidden="1" x14ac:dyDescent="0.25">
      <c r="B402" t="s">
        <v>56</v>
      </c>
      <c r="C402" t="s">
        <v>63</v>
      </c>
      <c r="I402">
        <v>1914.92</v>
      </c>
      <c r="J402" s="10">
        <v>45194</v>
      </c>
      <c r="K402" t="s">
        <v>100</v>
      </c>
      <c r="L402" s="1" t="s">
        <v>1455</v>
      </c>
      <c r="M402" s="7" t="str">
        <f>IF(K402="收_客户",INDEX(客户信息维护!C:C,MATCH(银行日记账登记!L402,客户信息维护!B:B,0)),IF(K402="支_供应商",INDEX(供应商信息维护!C:C,MATCH(银行日记账登记!L402,供应商信息维护!B:B,0)),""))</f>
        <v>RUIJIA SCP</v>
      </c>
      <c r="N402" t="s">
        <v>1457</v>
      </c>
      <c r="Q402" t="s">
        <v>79</v>
      </c>
      <c r="R402" t="s">
        <v>1458</v>
      </c>
    </row>
    <row r="403" spans="2:18" hidden="1" x14ac:dyDescent="0.25">
      <c r="B403" t="s">
        <v>56</v>
      </c>
      <c r="C403" t="s">
        <v>63</v>
      </c>
      <c r="I403">
        <v>5031.83</v>
      </c>
      <c r="J403" s="10">
        <v>45194</v>
      </c>
      <c r="K403" t="s">
        <v>100</v>
      </c>
      <c r="L403" s="1" t="s">
        <v>1092</v>
      </c>
      <c r="M403" s="7" t="str">
        <f>IF(K403="收_客户",INDEX(客户信息维护!C:C,MATCH(银行日记账登记!L403,客户信息维护!B:B,0)),IF(K403="支_供应商",INDEX(供应商信息维护!C:C,MATCH(银行日记账登记!L403,供应商信息维护!B:B,0)),""))</f>
        <v>HONG DA CHINA S.L  马拉加宏达</v>
      </c>
      <c r="N403" t="s">
        <v>1459</v>
      </c>
      <c r="P403" t="s">
        <v>303</v>
      </c>
      <c r="Q403" t="s">
        <v>79</v>
      </c>
      <c r="R403" t="s">
        <v>1464</v>
      </c>
    </row>
    <row r="404" spans="2:18" hidden="1" x14ac:dyDescent="0.25">
      <c r="B404" t="s">
        <v>56</v>
      </c>
      <c r="C404" t="s">
        <v>63</v>
      </c>
      <c r="I404">
        <v>5849.88</v>
      </c>
      <c r="J404" s="10">
        <v>45194</v>
      </c>
      <c r="K404" t="s">
        <v>100</v>
      </c>
      <c r="L404" s="1" t="s">
        <v>879</v>
      </c>
      <c r="M404" s="7" t="str">
        <f>IF(K404="收_客户",INDEX(客户信息维护!C:C,MATCH(银行日记账登记!L404,客户信息维护!B:B,0)),IF(K404="支_供应商",INDEX(供应商信息维护!C:C,MATCH(银行日记账登记!L404,供应商信息维护!B:B,0)),""))</f>
        <v>STOCKAGO ECOM,S.L</v>
      </c>
      <c r="N404" t="s">
        <v>1460</v>
      </c>
      <c r="Q404" t="s">
        <v>79</v>
      </c>
      <c r="R404" t="s">
        <v>1465</v>
      </c>
    </row>
    <row r="405" spans="2:18" hidden="1" x14ac:dyDescent="0.25">
      <c r="B405" t="s">
        <v>56</v>
      </c>
      <c r="C405" t="s">
        <v>63</v>
      </c>
      <c r="I405">
        <v>585.85</v>
      </c>
      <c r="J405" s="10">
        <v>45194</v>
      </c>
      <c r="K405" t="s">
        <v>100</v>
      </c>
      <c r="L405" s="1" t="s">
        <v>1461</v>
      </c>
      <c r="M405" s="7" t="str">
        <f>IF(K405="收_客户",INDEX(客户信息维护!C:C,MATCH(银行日记账登记!L405,客户信息维护!B:B,0)),IF(K405="支_供应商",INDEX(供应商信息维护!C:C,MATCH(银行日记账登记!L405,供应商信息维护!B:B,0)),""))</f>
        <v>HIPER HOGAR IBIZA S.L</v>
      </c>
      <c r="N405" t="s">
        <v>1463</v>
      </c>
      <c r="Q405" t="s">
        <v>79</v>
      </c>
      <c r="R405" t="s">
        <v>1466</v>
      </c>
    </row>
    <row r="406" spans="2:18" hidden="1" x14ac:dyDescent="0.25">
      <c r="B406" t="s">
        <v>60</v>
      </c>
      <c r="C406" t="s">
        <v>66</v>
      </c>
      <c r="I406">
        <v>5956.21</v>
      </c>
      <c r="J406" s="10">
        <v>45194</v>
      </c>
      <c r="K406" t="s">
        <v>100</v>
      </c>
      <c r="L406" s="16" t="s">
        <v>1082</v>
      </c>
      <c r="M406" s="7" t="str">
        <f>IF(K406="收_客户",INDEX(客户信息维护!C:C,MATCH(银行日记账登记!L406,客户信息维护!B:B,0)),IF(K406="支_供应商",INDEX(供应商信息维护!C:C,MATCH(银行日记账登记!L406,供应商信息维护!B:B,0)),""))</f>
        <v>CASA SHAO LDA 徐新春</v>
      </c>
      <c r="N406" t="s">
        <v>1467</v>
      </c>
      <c r="Q406" t="s">
        <v>79</v>
      </c>
      <c r="R406" t="s">
        <v>1468</v>
      </c>
    </row>
    <row r="407" spans="2:18" hidden="1" x14ac:dyDescent="0.25">
      <c r="B407" t="s">
        <v>56</v>
      </c>
      <c r="C407" t="s">
        <v>127</v>
      </c>
      <c r="I407">
        <v>470.97</v>
      </c>
      <c r="J407" s="10">
        <v>45194</v>
      </c>
      <c r="K407" t="s">
        <v>100</v>
      </c>
      <c r="L407" s="1" t="s">
        <v>1469</v>
      </c>
      <c r="M407" s="7" t="str">
        <f>IF(K407="收_客户",INDEX(客户信息维护!C:C,MATCH(银行日记账登记!L407,客户信息维护!B:B,0)),IF(K407="支_供应商",INDEX(供应商信息维护!C:C,MATCH(银行日记账登记!L407,供应商信息维护!B:B,0)),""))</f>
        <v>WUDI ZHOU 武迪</v>
      </c>
      <c r="N407" t="s">
        <v>1471</v>
      </c>
      <c r="Q407" t="s">
        <v>79</v>
      </c>
      <c r="R407" t="s">
        <v>1472</v>
      </c>
    </row>
    <row r="408" spans="2:18" hidden="1" x14ac:dyDescent="0.25">
      <c r="B408" t="s">
        <v>56</v>
      </c>
      <c r="C408" t="s">
        <v>127</v>
      </c>
      <c r="I408">
        <v>465.85</v>
      </c>
      <c r="J408" s="10">
        <v>45195</v>
      </c>
      <c r="K408" t="s">
        <v>100</v>
      </c>
      <c r="L408" s="1" t="s">
        <v>987</v>
      </c>
      <c r="M408" s="7" t="str">
        <f>IF(K408="收_客户",INDEX(客户信息维护!C:C,MATCH(银行日记账登记!L408,客户信息维护!B:B,0)),IF(K408="支_供应商",INDEX(供应商信息维护!C:C,MATCH(银行日记账登记!L408,供应商信息维护!B:B,0)),""))</f>
        <v>QINGSONG JIANKANG SL.</v>
      </c>
      <c r="N408" t="s">
        <v>1473</v>
      </c>
      <c r="P408" t="s">
        <v>533</v>
      </c>
      <c r="Q408" t="s">
        <v>79</v>
      </c>
      <c r="R408" t="s">
        <v>1477</v>
      </c>
    </row>
    <row r="409" spans="2:18" hidden="1" x14ac:dyDescent="0.25">
      <c r="B409" t="s">
        <v>56</v>
      </c>
      <c r="C409" t="s">
        <v>127</v>
      </c>
      <c r="I409">
        <v>1003.81</v>
      </c>
      <c r="J409" s="10">
        <v>45195</v>
      </c>
      <c r="K409" t="s">
        <v>100</v>
      </c>
      <c r="L409" s="1" t="s">
        <v>1474</v>
      </c>
      <c r="M409" s="7" t="str">
        <f>IF(K409="收_客户",INDEX(客户信息维护!C:C,MATCH(银行日记账登记!L409,客户信息维护!B:B,0)),IF(K409="支_供应商",INDEX(供应商信息维护!C:C,MATCH(银行日记账登记!L409,供应商信息维护!B:B,0)),""))</f>
        <v>DECO FORTUNA MALLORCA S.L</v>
      </c>
      <c r="N409" t="s">
        <v>1476</v>
      </c>
      <c r="Q409" t="s">
        <v>79</v>
      </c>
      <c r="R409" t="s">
        <v>1478</v>
      </c>
    </row>
    <row r="410" spans="2:18" hidden="1" x14ac:dyDescent="0.25">
      <c r="B410" t="s">
        <v>56</v>
      </c>
      <c r="C410" t="s">
        <v>63</v>
      </c>
      <c r="I410">
        <v>2287.67</v>
      </c>
      <c r="J410" s="10">
        <v>45194</v>
      </c>
      <c r="K410" t="s">
        <v>100</v>
      </c>
      <c r="L410" s="1" t="s">
        <v>1479</v>
      </c>
      <c r="M410" s="7" t="str">
        <f>IF(K410="收_客户",INDEX(客户信息维护!C:C,MATCH(银行日记账登记!L410,客户信息维护!B:B,0)),IF(K410="支_供应商",INDEX(供应商信息维护!C:C,MATCH(银行日记账登记!L410,供应商信息维护!B:B,0)),""))</f>
        <v>SUIQIAN LIAO</v>
      </c>
      <c r="N410" t="s">
        <v>1481</v>
      </c>
      <c r="Q410" t="s">
        <v>79</v>
      </c>
      <c r="R410" t="s">
        <v>1483</v>
      </c>
    </row>
    <row r="411" spans="2:18" hidden="1" x14ac:dyDescent="0.25">
      <c r="B411" t="s">
        <v>56</v>
      </c>
      <c r="C411" t="s">
        <v>63</v>
      </c>
      <c r="I411">
        <v>2984.41</v>
      </c>
      <c r="J411" s="10">
        <v>45195</v>
      </c>
      <c r="K411" t="s">
        <v>100</v>
      </c>
      <c r="L411" s="1" t="s">
        <v>504</v>
      </c>
      <c r="M411" s="7" t="str">
        <f>IF(K411="收_客户",INDEX(客户信息维护!C:C,MATCH(银行日记账登记!L411,客户信息维护!B:B,0)),IF(K411="支_供应商",INDEX(供应商信息维护!C:C,MATCH(银行日记账登记!L411,供应商信息维护!B:B,0)),""))</f>
        <v>LA FAMILIA ZHOU S.L</v>
      </c>
      <c r="N411" t="s">
        <v>1482</v>
      </c>
      <c r="P411" t="s">
        <v>303</v>
      </c>
      <c r="Q411" t="s">
        <v>79</v>
      </c>
      <c r="R411" t="s">
        <v>1484</v>
      </c>
    </row>
    <row r="412" spans="2:18" hidden="1" x14ac:dyDescent="0.25">
      <c r="B412" t="s">
        <v>56</v>
      </c>
      <c r="C412" t="s">
        <v>127</v>
      </c>
      <c r="I412">
        <v>325.33</v>
      </c>
      <c r="J412" s="10">
        <v>45195</v>
      </c>
      <c r="K412" t="s">
        <v>100</v>
      </c>
      <c r="L412" s="1" t="s">
        <v>1485</v>
      </c>
      <c r="M412" s="7" t="str">
        <f>IF(K412="收_客户",INDEX(客户信息维护!C:C,MATCH(银行日记账登记!L412,客户信息维护!B:B,0)),IF(K412="支_供应商",INDEX(供应商信息维护!C:C,MATCH(银行日记账登记!L412,供应商信息维护!B:B,0)),""))</f>
        <v>HOME WEI 88 S.L</v>
      </c>
      <c r="N412" t="s">
        <v>1487</v>
      </c>
      <c r="Q412" t="s">
        <v>79</v>
      </c>
      <c r="R412" t="s">
        <v>1488</v>
      </c>
    </row>
    <row r="413" spans="2:18" hidden="1" x14ac:dyDescent="0.25">
      <c r="B413" t="s">
        <v>56</v>
      </c>
      <c r="C413" t="s">
        <v>127</v>
      </c>
      <c r="I413">
        <v>3709.25</v>
      </c>
      <c r="J413" s="10">
        <v>45196</v>
      </c>
      <c r="K413" t="s">
        <v>100</v>
      </c>
      <c r="L413" s="1" t="s">
        <v>1489</v>
      </c>
      <c r="M413" s="7" t="str">
        <f>IF(K413="收_客户",INDEX(客户信息维护!C:C,MATCH(银行日记账登记!L413,客户信息维护!B:B,0)),IF(K413="支_供应商",INDEX(供应商信息维护!C:C,MATCH(银行日记账登记!L413,供应商信息维护!B:B,0)),""))</f>
        <v>TODO CASA ESPANA RC S.L</v>
      </c>
      <c r="N413" t="s">
        <v>1491</v>
      </c>
      <c r="Q413" t="s">
        <v>79</v>
      </c>
      <c r="R413" t="s">
        <v>1496</v>
      </c>
    </row>
    <row r="414" spans="2:18" hidden="1" x14ac:dyDescent="0.25">
      <c r="B414" t="s">
        <v>56</v>
      </c>
      <c r="C414" t="s">
        <v>127</v>
      </c>
      <c r="I414">
        <v>511.65</v>
      </c>
      <c r="J414" s="10">
        <v>45196</v>
      </c>
      <c r="K414" t="s">
        <v>100</v>
      </c>
      <c r="L414" s="1" t="s">
        <v>529</v>
      </c>
      <c r="M414" s="7" t="str">
        <f>IF(K414="收_客户",INDEX(客户信息维护!C:C,MATCH(银行日记账登记!L414,客户信息维护!B:B,0)),IF(K414="支_供应商",INDEX(供应商信息维护!C:C,MATCH(银行日记账登记!L414,供应商信息维护!B:B,0)),""))</f>
        <v>QIBIAO HUANG</v>
      </c>
      <c r="N414" t="s">
        <v>1492</v>
      </c>
      <c r="P414" t="s">
        <v>533</v>
      </c>
      <c r="Q414" t="s">
        <v>79</v>
      </c>
      <c r="R414" t="s">
        <v>1497</v>
      </c>
    </row>
    <row r="415" spans="2:18" hidden="1" x14ac:dyDescent="0.25">
      <c r="B415" t="s">
        <v>56</v>
      </c>
      <c r="C415" t="s">
        <v>127</v>
      </c>
      <c r="I415">
        <v>603.54</v>
      </c>
      <c r="J415" s="10">
        <v>45196</v>
      </c>
      <c r="K415" t="s">
        <v>100</v>
      </c>
      <c r="L415" s="1" t="s">
        <v>1493</v>
      </c>
      <c r="M415" s="7" t="str">
        <f>IF(K415="收_客户",INDEX(客户信息维护!C:C,MATCH(银行日记账登记!L415,客户信息维护!B:B,0)),IF(K415="支_供应商",INDEX(供应商信息维护!C:C,MATCH(银行日记账登记!L415,供应商信息维护!B:B,0)),""))</f>
        <v>CHEN HAIYAN</v>
      </c>
      <c r="N415" t="s">
        <v>1495</v>
      </c>
      <c r="Q415" t="s">
        <v>79</v>
      </c>
      <c r="R415" t="s">
        <v>1498</v>
      </c>
    </row>
    <row r="416" spans="2:18" hidden="1" x14ac:dyDescent="0.25">
      <c r="B416" t="s">
        <v>56</v>
      </c>
      <c r="C416" t="s">
        <v>127</v>
      </c>
      <c r="I416">
        <v>475.5</v>
      </c>
      <c r="J416" s="10">
        <v>45197</v>
      </c>
      <c r="K416" t="s">
        <v>100</v>
      </c>
      <c r="L416" s="1" t="s">
        <v>801</v>
      </c>
      <c r="M416" s="7" t="str">
        <f>IF(K416="收_客户",INDEX(客户信息维护!C:C,MATCH(银行日记账登记!L416,客户信息维护!B:B,0)),IF(K416="支_供应商",INDEX(供应商信息维护!C:C,MATCH(银行日记账登记!L416,供应商信息维护!B:B,0)),""))</f>
        <v>SENWEI WU</v>
      </c>
      <c r="N416" t="s">
        <v>1499</v>
      </c>
      <c r="Q416" t="s">
        <v>79</v>
      </c>
      <c r="R416" t="s">
        <v>1501</v>
      </c>
    </row>
    <row r="417" spans="2:18" hidden="1" x14ac:dyDescent="0.25">
      <c r="B417" t="s">
        <v>56</v>
      </c>
      <c r="C417" t="s">
        <v>127</v>
      </c>
      <c r="I417">
        <v>1158.1500000000001</v>
      </c>
      <c r="J417" s="10">
        <v>45197</v>
      </c>
      <c r="K417" t="s">
        <v>100</v>
      </c>
      <c r="L417" s="1" t="s">
        <v>518</v>
      </c>
      <c r="M417" s="7" t="str">
        <f>IF(K417="收_客户",INDEX(客户信息维护!C:C,MATCH(银行日记账登记!L417,客户信息维护!B:B,0)),IF(K417="支_供应商",INDEX(供应商信息维护!C:C,MATCH(银行日记账登记!L417,供应商信息维护!B:B,0)),""))</f>
        <v>EURO HOGAR CARBALLO S.L</v>
      </c>
      <c r="N417" t="s">
        <v>1500</v>
      </c>
      <c r="Q417" t="s">
        <v>79</v>
      </c>
      <c r="R417" t="s">
        <v>1502</v>
      </c>
    </row>
    <row r="418" spans="2:18" hidden="1" x14ac:dyDescent="0.25">
      <c r="B418" t="s">
        <v>56</v>
      </c>
      <c r="C418" t="s">
        <v>63</v>
      </c>
      <c r="I418">
        <v>1020.4</v>
      </c>
      <c r="J418" s="10">
        <v>45197</v>
      </c>
      <c r="K418" t="s">
        <v>100</v>
      </c>
      <c r="L418" s="1" t="s">
        <v>1503</v>
      </c>
      <c r="M418" s="7" t="str">
        <f>IF(K418="收_客户",INDEX(客户信息维护!C:C,MATCH(银行日记账登记!L418,客户信息维护!B:B,0)),IF(K418="支_供应商",INDEX(供应商信息维护!C:C,MATCH(银行日记账登记!L418,供应商信息维护!B:B,0)),""))</f>
        <v>UNIHOME ORTEGAL S.L</v>
      </c>
      <c r="N418" t="s">
        <v>1505</v>
      </c>
      <c r="Q418" t="s">
        <v>79</v>
      </c>
      <c r="R418" t="s">
        <v>1506</v>
      </c>
    </row>
    <row r="419" spans="2:18" hidden="1" x14ac:dyDescent="0.25">
      <c r="B419" t="s">
        <v>56</v>
      </c>
      <c r="C419" t="s">
        <v>63</v>
      </c>
      <c r="I419">
        <v>883.76</v>
      </c>
      <c r="J419" s="10">
        <v>45197</v>
      </c>
      <c r="K419" t="s">
        <v>100</v>
      </c>
      <c r="L419" s="1" t="s">
        <v>1507</v>
      </c>
      <c r="M419" s="7" t="str">
        <f>IF(K419="收_客户",INDEX(客户信息维护!C:C,MATCH(银行日记账登记!L419,客户信息维护!B:B,0)),IF(K419="支_供应商",INDEX(供应商信息维护!C:C,MATCH(银行日记账登记!L419,供应商信息维护!B:B,0)),""))</f>
        <v>GRAN LAGUNA 2011 S.L</v>
      </c>
      <c r="N419" t="s">
        <v>1509</v>
      </c>
      <c r="P419" t="s">
        <v>303</v>
      </c>
      <c r="Q419" t="s">
        <v>79</v>
      </c>
      <c r="R419" t="s">
        <v>1513</v>
      </c>
    </row>
    <row r="420" spans="2:18" hidden="1" x14ac:dyDescent="0.25">
      <c r="B420" t="s">
        <v>56</v>
      </c>
      <c r="C420" t="s">
        <v>63</v>
      </c>
      <c r="I420">
        <v>3808.54</v>
      </c>
      <c r="J420" s="10">
        <v>45197</v>
      </c>
      <c r="K420" t="s">
        <v>100</v>
      </c>
      <c r="L420" s="1" t="s">
        <v>1510</v>
      </c>
      <c r="M420" s="7" t="str">
        <f>IF(K420="收_客户",INDEX(客户信息维护!C:C,MATCH(银行日记账登记!L420,客户信息维护!B:B,0)),IF(K420="支_供应商",INDEX(供应商信息维护!C:C,MATCH(银行日记账登记!L420,供应商信息维护!B:B,0)),""))</f>
        <v>DOS HERMANAS STYLE SOL S.L 润达</v>
      </c>
      <c r="N420" t="s">
        <v>1512</v>
      </c>
      <c r="P420" t="s">
        <v>303</v>
      </c>
      <c r="Q420" t="s">
        <v>79</v>
      </c>
      <c r="R420" t="s">
        <v>1514</v>
      </c>
    </row>
    <row r="421" spans="2:18" hidden="1" x14ac:dyDescent="0.25">
      <c r="B421" t="s">
        <v>56</v>
      </c>
      <c r="C421" t="s">
        <v>63</v>
      </c>
      <c r="I421">
        <v>765.56</v>
      </c>
      <c r="J421" s="10">
        <v>45197</v>
      </c>
      <c r="K421" t="s">
        <v>100</v>
      </c>
      <c r="L421" s="1" t="s">
        <v>1075</v>
      </c>
      <c r="M421" s="7" t="str">
        <f>IF(K421="收_客户",INDEX(客户信息维护!C:C,MATCH(银行日记账登记!L421,客户信息维护!B:B,0)),IF(K421="支_供应商",INDEX(供应商信息维护!C:C,MATCH(银行日记账登记!L421,供应商信息维护!B:B,0)),""))</f>
        <v>BAZAR MIRACAMPO S.L</v>
      </c>
      <c r="N421" t="s">
        <v>1077</v>
      </c>
      <c r="P421" t="s">
        <v>303</v>
      </c>
      <c r="Q421" t="s">
        <v>79</v>
      </c>
      <c r="R421" t="s">
        <v>1515</v>
      </c>
    </row>
    <row r="422" spans="2:18" hidden="1" x14ac:dyDescent="0.25">
      <c r="B422" t="s">
        <v>60</v>
      </c>
      <c r="C422" t="s">
        <v>66</v>
      </c>
      <c r="I422">
        <v>553.28</v>
      </c>
      <c r="J422" s="10">
        <v>45197</v>
      </c>
      <c r="K422" t="s">
        <v>100</v>
      </c>
      <c r="L422" s="16" t="s">
        <v>1516</v>
      </c>
      <c r="M422" s="7" t="str">
        <f>IF(K422="收_客户",INDEX(客户信息维护!C:C,MATCH(银行日记账登记!L422,客户信息维护!B:B,0)),IF(K422="支_供应商",INDEX(供应商信息维护!C:C,MATCH(银行日记账登记!L422,供应商信息维护!B:B,0)),""))</f>
        <v>SHUANGYAN HUANG 黄双燕</v>
      </c>
      <c r="N422" t="s">
        <v>1518</v>
      </c>
      <c r="Q422" t="s">
        <v>79</v>
      </c>
      <c r="R422" t="s">
        <v>1519</v>
      </c>
    </row>
    <row r="423" spans="2:18" hidden="1" x14ac:dyDescent="0.25">
      <c r="B423" t="s">
        <v>56</v>
      </c>
      <c r="C423" t="s">
        <v>127</v>
      </c>
      <c r="I423">
        <v>430.27</v>
      </c>
      <c r="J423" s="10">
        <v>45197</v>
      </c>
      <c r="K423" t="s">
        <v>100</v>
      </c>
      <c r="L423" s="1" t="s">
        <v>1330</v>
      </c>
      <c r="M423" s="7" t="str">
        <f>IF(K423="收_客户",INDEX(客户信息维护!C:C,MATCH(银行日记账登记!L423,客户信息维护!B:B,0)),IF(K423="支_供应商",INDEX(供应商信息维护!C:C,MATCH(银行日记账登记!L423,供应商信息维护!B:B,0)),""))</f>
        <v>IUNTECH GALICIA S.L 齐力分公司</v>
      </c>
      <c r="N423" t="s">
        <v>1520</v>
      </c>
      <c r="Q423" t="s">
        <v>79</v>
      </c>
      <c r="R423" t="s">
        <v>1523</v>
      </c>
    </row>
    <row r="424" spans="2:18" hidden="1" x14ac:dyDescent="0.25">
      <c r="B424" t="s">
        <v>56</v>
      </c>
      <c r="C424" t="s">
        <v>127</v>
      </c>
      <c r="I424">
        <v>1204.25</v>
      </c>
      <c r="J424" s="10">
        <v>45198</v>
      </c>
      <c r="K424" t="s">
        <v>100</v>
      </c>
      <c r="L424" s="1" t="s">
        <v>593</v>
      </c>
      <c r="M424" s="7" t="str">
        <f>IF(K424="收_客户",INDEX(客户信息维护!C:C,MATCH(银行日记账登记!L424,客户信息维护!B:B,0)),IF(K424="支_供应商",INDEX(供应商信息维护!C:C,MATCH(银行日记账登记!L424,供应商信息维护!B:B,0)),""))</f>
        <v>SUPER DENFU S.L</v>
      </c>
      <c r="N424" t="s">
        <v>1521</v>
      </c>
      <c r="Q424" t="s">
        <v>79</v>
      </c>
      <c r="R424" t="s">
        <v>1524</v>
      </c>
    </row>
    <row r="425" spans="2:18" hidden="1" x14ac:dyDescent="0.25">
      <c r="B425" t="s">
        <v>56</v>
      </c>
      <c r="C425" t="s">
        <v>127</v>
      </c>
      <c r="I425">
        <v>262.33999999999997</v>
      </c>
      <c r="J425" s="10">
        <v>45198</v>
      </c>
      <c r="K425" t="s">
        <v>100</v>
      </c>
      <c r="L425" s="1" t="s">
        <v>377</v>
      </c>
      <c r="M425" s="7" t="str">
        <f>IF(K425="收_客户",INDEX(客户信息维护!C:C,MATCH(银行日记账登记!L425,客户信息维护!B:B,0)),IF(K425="支_供应商",INDEX(供应商信息维护!C:C,MATCH(银行日记账登记!L425,供应商信息维护!B:B,0)),""))</f>
        <v>RED COOL S.L</v>
      </c>
      <c r="N425" t="s">
        <v>1522</v>
      </c>
      <c r="P425" t="s">
        <v>533</v>
      </c>
      <c r="Q425" t="s">
        <v>79</v>
      </c>
      <c r="R425" t="s">
        <v>1525</v>
      </c>
    </row>
    <row r="426" spans="2:18" hidden="1" x14ac:dyDescent="0.25">
      <c r="B426" t="s">
        <v>56</v>
      </c>
      <c r="C426" t="s">
        <v>127</v>
      </c>
      <c r="I426">
        <v>385.26</v>
      </c>
      <c r="J426" s="10">
        <v>45199</v>
      </c>
      <c r="K426" t="s">
        <v>100</v>
      </c>
      <c r="L426" s="1" t="s">
        <v>1202</v>
      </c>
      <c r="M426" s="7" t="str">
        <f>IF(K426="收_客户",INDEX(客户信息维护!C:C,MATCH(银行日记账登记!L426,客户信息维护!B:B,0)),IF(K426="支_供应商",INDEX(供应商信息维护!C:C,MATCH(银行日记账登记!L426,供应商信息维护!B:B,0)),""))</f>
        <v>XINMEIJIA S.L.</v>
      </c>
      <c r="N426" t="s">
        <v>1526</v>
      </c>
      <c r="Q426" t="s">
        <v>79</v>
      </c>
      <c r="R426" t="s">
        <v>1543</v>
      </c>
    </row>
    <row r="427" spans="2:18" hidden="1" x14ac:dyDescent="0.25">
      <c r="B427" t="s">
        <v>56</v>
      </c>
      <c r="C427" t="s">
        <v>127</v>
      </c>
      <c r="I427">
        <v>218.43</v>
      </c>
      <c r="J427" s="10">
        <v>45199</v>
      </c>
      <c r="K427" t="s">
        <v>100</v>
      </c>
      <c r="L427" s="1" t="s">
        <v>75</v>
      </c>
      <c r="M427" s="7" t="str">
        <f>IF(K427="收_客户",INDEX(客户信息维护!C:C,MATCH(银行日记账登记!L427,客户信息维护!B:B,0)),IF(K427="支_供应商",INDEX(供应商信息维护!C:C,MATCH(银行日记账登记!L427,供应商信息维护!B:B,0)),""))</f>
        <v>TEMING CHENG</v>
      </c>
      <c r="N427" t="s">
        <v>1527</v>
      </c>
      <c r="Q427" t="s">
        <v>79</v>
      </c>
      <c r="R427" t="s">
        <v>1544</v>
      </c>
    </row>
    <row r="428" spans="2:18" hidden="1" x14ac:dyDescent="0.25">
      <c r="B428" t="s">
        <v>56</v>
      </c>
      <c r="C428" t="s">
        <v>63</v>
      </c>
      <c r="I428">
        <v>2690.73</v>
      </c>
      <c r="J428" s="10">
        <v>45198</v>
      </c>
      <c r="K428" t="s">
        <v>100</v>
      </c>
      <c r="L428" s="1" t="s">
        <v>1528</v>
      </c>
      <c r="M428" s="7" t="str">
        <f>IF(K428="收_客户",INDEX(客户信息维护!C:C,MATCH(银行日记账登记!L428,客户信息维护!B:B,0)),IF(K428="支_供应商",INDEX(供应商信息维护!C:C,MATCH(银行日记账登记!L428,供应商信息维护!B:B,0)),""))</f>
        <v>PEIZHI CHEN</v>
      </c>
      <c r="N428" t="s">
        <v>1530</v>
      </c>
      <c r="Q428" t="s">
        <v>79</v>
      </c>
      <c r="R428" t="s">
        <v>1538</v>
      </c>
    </row>
    <row r="429" spans="2:18" hidden="1" x14ac:dyDescent="0.25">
      <c r="B429" t="s">
        <v>56</v>
      </c>
      <c r="C429" t="s">
        <v>63</v>
      </c>
      <c r="I429">
        <v>6000</v>
      </c>
      <c r="J429" s="10">
        <v>45198</v>
      </c>
      <c r="K429" t="s">
        <v>100</v>
      </c>
      <c r="L429" s="1" t="s">
        <v>662</v>
      </c>
      <c r="M429" s="7" t="str">
        <f>IF(K429="收_客户",INDEX(客户信息维护!C:C,MATCH(银行日记账登记!L429,客户信息维护!B:B,0)),IF(K429="支_供应商",INDEX(供应商信息维护!C:C,MATCH(银行日记账登记!L429,供应商信息维护!B:B,0)),""))</f>
        <v>STOCK IN SPAIN ELECTRONICS S.L 步步高</v>
      </c>
      <c r="N429" t="s">
        <v>1531</v>
      </c>
      <c r="P429" t="s">
        <v>303</v>
      </c>
      <c r="Q429" t="s">
        <v>79</v>
      </c>
      <c r="R429" t="s">
        <v>1539</v>
      </c>
    </row>
    <row r="430" spans="2:18" hidden="1" x14ac:dyDescent="0.25">
      <c r="B430" t="s">
        <v>56</v>
      </c>
      <c r="C430" t="s">
        <v>63</v>
      </c>
      <c r="I430">
        <v>2033.53</v>
      </c>
      <c r="J430" s="10">
        <v>45198</v>
      </c>
      <c r="K430" t="s">
        <v>100</v>
      </c>
      <c r="L430" s="1" t="s">
        <v>883</v>
      </c>
      <c r="M430" s="7" t="str">
        <f>IF(K430="收_客户",INDEX(客户信息维护!C:C,MATCH(银行日记账登记!L430,客户信息维护!B:B,0)),IF(K430="支_供应商",INDEX(供应商信息维护!C:C,MATCH(银行日记账登记!L430,供应商信息维护!B:B,0)),""))</f>
        <v>HIPER CAN VALERO S.L</v>
      </c>
      <c r="N430" t="s">
        <v>1532</v>
      </c>
      <c r="P430" t="s">
        <v>303</v>
      </c>
      <c r="Q430" t="s">
        <v>79</v>
      </c>
      <c r="R430" t="s">
        <v>1540</v>
      </c>
    </row>
    <row r="431" spans="2:18" hidden="1" x14ac:dyDescent="0.25">
      <c r="B431" t="s">
        <v>56</v>
      </c>
      <c r="C431" t="s">
        <v>63</v>
      </c>
      <c r="I431">
        <v>623.98</v>
      </c>
      <c r="J431" s="10">
        <v>45198</v>
      </c>
      <c r="K431" t="s">
        <v>100</v>
      </c>
      <c r="L431" s="1" t="s">
        <v>1533</v>
      </c>
      <c r="M431" s="7" t="str">
        <f>IF(K431="收_客户",INDEX(客户信息维护!C:C,MATCH(银行日记账登记!L431,客户信息维护!B:B,0)),IF(K431="支_供应商",INDEX(供应商信息维护!C:C,MATCH(银行日记账登记!L431,供应商信息维护!B:B,0)),""))</f>
        <v>HIPER ASIA PALMA S.L</v>
      </c>
      <c r="N431" t="s">
        <v>1535</v>
      </c>
      <c r="P431" t="s">
        <v>303</v>
      </c>
      <c r="Q431" t="s">
        <v>79</v>
      </c>
      <c r="R431" t="s">
        <v>1541</v>
      </c>
    </row>
    <row r="432" spans="2:18" hidden="1" x14ac:dyDescent="0.25">
      <c r="B432" t="s">
        <v>56</v>
      </c>
      <c r="C432" t="s">
        <v>63</v>
      </c>
      <c r="I432">
        <v>3149.76</v>
      </c>
      <c r="J432" s="10">
        <v>45198</v>
      </c>
      <c r="K432" t="s">
        <v>100</v>
      </c>
      <c r="L432" s="1" t="s">
        <v>817</v>
      </c>
      <c r="M432" s="7" t="str">
        <f>IF(K432="收_客户",INDEX(客户信息维护!C:C,MATCH(银行日记账登记!L432,客户信息维护!B:B,0)),IF(K432="支_供应商",INDEX(供应商信息维护!C:C,MATCH(银行日记账登记!L432,供应商信息维护!B:B,0)),""))</f>
        <v>LUOJUN WANG</v>
      </c>
      <c r="N432" t="s">
        <v>1536</v>
      </c>
      <c r="P432" t="s">
        <v>1537</v>
      </c>
      <c r="Q432" t="s">
        <v>79</v>
      </c>
      <c r="R432" t="s">
        <v>1542</v>
      </c>
    </row>
    <row r="433" spans="2:18" hidden="1" x14ac:dyDescent="0.25">
      <c r="B433" t="s">
        <v>60</v>
      </c>
      <c r="C433" t="s">
        <v>350</v>
      </c>
      <c r="I433">
        <v>455.48</v>
      </c>
      <c r="J433" s="10">
        <v>45198</v>
      </c>
      <c r="K433" t="s">
        <v>100</v>
      </c>
      <c r="L433" s="16" t="s">
        <v>1545</v>
      </c>
      <c r="M433" s="7" t="str">
        <f>IF(K433="收_客户",INDEX(客户信息维护!C:C,MATCH(银行日记账登记!L433,客户信息维护!B:B,0)),IF(K433="支_供应商",INDEX(供应商信息维护!C:C,MATCH(银行日记账登记!L433,供应商信息维护!B:B,0)),""))</f>
        <v>TUPIPCAPRICE LDA 孙茂克</v>
      </c>
      <c r="N433" t="s">
        <v>1547</v>
      </c>
      <c r="Q433" t="s">
        <v>79</v>
      </c>
      <c r="R433" t="s">
        <v>1548</v>
      </c>
    </row>
    <row r="434" spans="2:18" hidden="1" x14ac:dyDescent="0.25">
      <c r="B434" t="s">
        <v>60</v>
      </c>
      <c r="C434" t="s">
        <v>66</v>
      </c>
      <c r="I434">
        <v>1284.24</v>
      </c>
      <c r="J434" s="10">
        <v>45198</v>
      </c>
      <c r="K434" t="s">
        <v>100</v>
      </c>
      <c r="L434" s="16" t="s">
        <v>1549</v>
      </c>
      <c r="M434" s="7" t="str">
        <f>IF(K434="收_客户",INDEX(客户信息维护!C:C,MATCH(银行日记账登记!L434,客户信息维护!B:B,0)),IF(K434="支_供应商",INDEX(供应商信息维护!C:C,MATCH(银行日记账登记!L434,供应商信息维护!B:B,0)),""))</f>
        <v>YIN XU 徐银</v>
      </c>
      <c r="N434" t="s">
        <v>1551</v>
      </c>
      <c r="P434" t="s">
        <v>303</v>
      </c>
      <c r="Q434" t="s">
        <v>79</v>
      </c>
      <c r="R434" t="s">
        <v>1571</v>
      </c>
    </row>
    <row r="435" spans="2:18" hidden="1" x14ac:dyDescent="0.25">
      <c r="B435" t="s">
        <v>60</v>
      </c>
      <c r="C435" t="s">
        <v>66</v>
      </c>
      <c r="I435">
        <v>3368.22</v>
      </c>
      <c r="J435" s="10">
        <v>45198</v>
      </c>
      <c r="K435" t="s">
        <v>100</v>
      </c>
      <c r="L435" s="16" t="s">
        <v>1552</v>
      </c>
      <c r="M435" s="7" t="str">
        <f>IF(K435="收_客户",INDEX(客户信息维护!C:C,MATCH(银行日记账登记!L435,客户信息维护!B:B,0)),IF(K435="支_供应商",INDEX(供应商信息维护!C:C,MATCH(银行日记账登记!L435,供应商信息维护!B:B,0)),""))</f>
        <v>HAPPY ENJOY LDA 章华千</v>
      </c>
      <c r="N435" t="s">
        <v>1554</v>
      </c>
      <c r="P435" t="s">
        <v>303</v>
      </c>
      <c r="Q435" t="s">
        <v>79</v>
      </c>
      <c r="R435" t="s">
        <v>1572</v>
      </c>
    </row>
    <row r="436" spans="2:18" hidden="1" x14ac:dyDescent="0.25">
      <c r="B436" t="s">
        <v>60</v>
      </c>
      <c r="C436" t="s">
        <v>66</v>
      </c>
      <c r="I436">
        <v>2276.5500000000002</v>
      </c>
      <c r="J436" s="10">
        <v>45198</v>
      </c>
      <c r="K436" t="s">
        <v>100</v>
      </c>
      <c r="L436" s="16" t="s">
        <v>1556</v>
      </c>
      <c r="M436" s="7" t="str">
        <f>IF(K436="收_客户",INDEX(客户信息维护!C:C,MATCH(银行日记账登记!L436,客户信息维护!B:B,0)),IF(K436="支_供应商",INDEX(供应商信息维护!C:C,MATCH(银行日记账登记!L436,供应商信息维护!B:B,0)),""))</f>
        <v>FELIZELEITO UNIP. LDA 陈定保</v>
      </c>
      <c r="N436" t="s">
        <v>1555</v>
      </c>
      <c r="P436" t="s">
        <v>303</v>
      </c>
      <c r="Q436" t="s">
        <v>79</v>
      </c>
      <c r="R436" t="s">
        <v>1573</v>
      </c>
    </row>
    <row r="437" spans="2:18" hidden="1" x14ac:dyDescent="0.25">
      <c r="B437" t="s">
        <v>60</v>
      </c>
      <c r="C437" t="s">
        <v>66</v>
      </c>
      <c r="I437">
        <v>1516.2</v>
      </c>
      <c r="J437" s="10">
        <v>45198</v>
      </c>
      <c r="K437" t="s">
        <v>100</v>
      </c>
      <c r="L437" s="16" t="s">
        <v>1516</v>
      </c>
      <c r="M437" s="7" t="str">
        <f>IF(K437="收_客户",INDEX(客户信息维护!C:C,MATCH(银行日记账登记!L437,客户信息维护!B:B,0)),IF(K437="支_供应商",INDEX(供应商信息维护!C:C,MATCH(银行日记账登记!L437,供应商信息维护!B:B,0)),""))</f>
        <v>SHUANGYAN HUANG 黄双燕</v>
      </c>
      <c r="N437" t="s">
        <v>1558</v>
      </c>
      <c r="P437" t="s">
        <v>303</v>
      </c>
      <c r="Q437" t="s">
        <v>79</v>
      </c>
      <c r="R437" t="s">
        <v>1574</v>
      </c>
    </row>
    <row r="438" spans="2:18" hidden="1" x14ac:dyDescent="0.25">
      <c r="B438" t="s">
        <v>60</v>
      </c>
      <c r="C438" t="s">
        <v>66</v>
      </c>
      <c r="I438">
        <v>1821.38</v>
      </c>
      <c r="J438" s="10">
        <v>45198</v>
      </c>
      <c r="K438" t="s">
        <v>100</v>
      </c>
      <c r="L438" s="16" t="s">
        <v>1559</v>
      </c>
      <c r="M438" s="7" t="str">
        <f>IF(K438="收_客户",INDEX(客户信息维护!C:C,MATCH(银行日记账登记!L438,客户信息维护!B:B,0)),IF(K438="支_供应商",INDEX(供应商信息维护!C:C,MATCH(银行日记账登记!L438,供应商信息维护!B:B,0)),""))</f>
        <v>MAO &amp; QIN IMPORTACAO E EXPORTACAO LDA 秦峰</v>
      </c>
      <c r="N438" t="s">
        <v>1561</v>
      </c>
      <c r="P438" t="s">
        <v>303</v>
      </c>
      <c r="Q438" t="s">
        <v>79</v>
      </c>
      <c r="R438" t="s">
        <v>1575</v>
      </c>
    </row>
    <row r="439" spans="2:18" hidden="1" x14ac:dyDescent="0.25">
      <c r="B439" t="s">
        <v>60</v>
      </c>
      <c r="C439" t="s">
        <v>66</v>
      </c>
      <c r="I439">
        <v>2115.83</v>
      </c>
      <c r="J439" s="10">
        <v>45198</v>
      </c>
      <c r="K439" t="s">
        <v>100</v>
      </c>
      <c r="L439" s="16" t="s">
        <v>1562</v>
      </c>
      <c r="M439" s="7" t="str">
        <f>IF(K439="收_客户",INDEX(客户信息维护!C:C,MATCH(银行日记账登记!L439,客户信息维护!B:B,0)),IF(K439="支_供应商",INDEX(供应商信息维护!C:C,MATCH(银行日记账登记!L439,供应商信息维护!B:B,0)),""))</f>
        <v>ALTURA SOLENE UNIPESSOAL LDA 叶伯光</v>
      </c>
      <c r="N439" t="s">
        <v>1564</v>
      </c>
      <c r="P439" t="s">
        <v>303</v>
      </c>
      <c r="Q439" t="s">
        <v>79</v>
      </c>
      <c r="R439" t="s">
        <v>1576</v>
      </c>
    </row>
    <row r="440" spans="2:18" hidden="1" x14ac:dyDescent="0.25">
      <c r="B440" t="s">
        <v>60</v>
      </c>
      <c r="C440" t="s">
        <v>66</v>
      </c>
      <c r="I440">
        <v>783.55</v>
      </c>
      <c r="J440" s="10">
        <v>45198</v>
      </c>
      <c r="K440" t="s">
        <v>100</v>
      </c>
      <c r="L440" s="16" t="s">
        <v>728</v>
      </c>
      <c r="M440" s="7" t="str">
        <f>IF(K440="收_客户",INDEX(客户信息维护!C:C,MATCH(银行日记账登记!L440,客户信息维护!B:B,0)),IF(K440="支_供应商",INDEX(供应商信息维护!C:C,MATCH(银行日记账登记!L440,供应商信息维护!B:B,0)),""))</f>
        <v>LIU FANG UNIPESSOAL LDA 陈旭 刘芳</v>
      </c>
      <c r="N440" t="s">
        <v>1565</v>
      </c>
      <c r="P440" t="s">
        <v>303</v>
      </c>
      <c r="Q440" t="s">
        <v>79</v>
      </c>
      <c r="R440" t="s">
        <v>1577</v>
      </c>
    </row>
    <row r="441" spans="2:18" hidden="1" x14ac:dyDescent="0.25">
      <c r="B441" t="s">
        <v>60</v>
      </c>
      <c r="C441" t="s">
        <v>66</v>
      </c>
      <c r="I441">
        <v>861.62</v>
      </c>
      <c r="J441" s="10">
        <v>45198</v>
      </c>
      <c r="K441" t="s">
        <v>100</v>
      </c>
      <c r="L441" s="16" t="s">
        <v>1566</v>
      </c>
      <c r="M441" s="7" t="str">
        <f>IF(K441="收_客户",INDEX(客户信息维护!C:C,MATCH(银行日记账登记!L441,客户信息维护!B:B,0)),IF(K441="支_供应商",INDEX(供应商信息维护!C:C,MATCH(银行日记账登记!L441,供应商信息维护!B:B,0)),""))</f>
        <v>YOUNGWAY LDA 张洪波</v>
      </c>
      <c r="N441" t="s">
        <v>1568</v>
      </c>
      <c r="P441" t="s">
        <v>303</v>
      </c>
      <c r="Q441" t="s">
        <v>79</v>
      </c>
      <c r="R441" t="s">
        <v>1578</v>
      </c>
    </row>
    <row r="442" spans="2:18" hidden="1" x14ac:dyDescent="0.25">
      <c r="B442" t="s">
        <v>60</v>
      </c>
      <c r="C442" t="s">
        <v>66</v>
      </c>
      <c r="I442">
        <v>1714.83</v>
      </c>
      <c r="J442" s="10">
        <v>45198</v>
      </c>
      <c r="K442" t="s">
        <v>100</v>
      </c>
      <c r="L442" s="16" t="s">
        <v>1562</v>
      </c>
      <c r="M442" s="7" t="str">
        <f>IF(K442="收_客户",INDEX(客户信息维护!C:C,MATCH(银行日记账登记!L442,客户信息维护!B:B,0)),IF(K442="支_供应商",INDEX(供应商信息维护!C:C,MATCH(银行日记账登记!L442,供应商信息维护!B:B,0)),""))</f>
        <v>ALTURA SOLENE UNIPESSOAL LDA 叶伯光</v>
      </c>
      <c r="N442" t="s">
        <v>1569</v>
      </c>
      <c r="P442" t="s">
        <v>303</v>
      </c>
      <c r="Q442" t="s">
        <v>79</v>
      </c>
      <c r="R442" t="s">
        <v>1579</v>
      </c>
    </row>
    <row r="443" spans="2:18" hidden="1" x14ac:dyDescent="0.25">
      <c r="B443" t="s">
        <v>60</v>
      </c>
      <c r="C443" t="s">
        <v>66</v>
      </c>
      <c r="I443">
        <v>1223.76</v>
      </c>
      <c r="J443" s="10">
        <v>45198</v>
      </c>
      <c r="K443" t="s">
        <v>100</v>
      </c>
      <c r="L443" s="16" t="s">
        <v>904</v>
      </c>
      <c r="M443" s="7" t="str">
        <f>IF(K443="收_客户",INDEX(客户信息维护!C:C,MATCH(银行日记账登记!L443,客户信息维护!B:B,0)),IF(K443="支_供应商",INDEX(供应商信息维护!C:C,MATCH(银行日记账登记!L443,供应商信息维护!B:B,0)),""))</f>
        <v>IMPORTANCIA SIMPATICA UNIPESSOAL LDA 刘荣女儿店</v>
      </c>
      <c r="N443" t="s">
        <v>1570</v>
      </c>
      <c r="Q443" t="s">
        <v>79</v>
      </c>
      <c r="R443" t="s">
        <v>1580</v>
      </c>
    </row>
    <row r="444" spans="2:18" hidden="1" x14ac:dyDescent="0.25">
      <c r="B444" t="s">
        <v>60</v>
      </c>
      <c r="C444" t="s">
        <v>66</v>
      </c>
      <c r="H444" s="43"/>
      <c r="I444">
        <v>1309.8800000000001</v>
      </c>
      <c r="J444" s="10">
        <v>45201</v>
      </c>
      <c r="K444" t="s">
        <v>100</v>
      </c>
      <c r="L444" s="16" t="s">
        <v>779</v>
      </c>
      <c r="M444" s="7" t="str">
        <f>IF(K444="收_客户",INDEX(客户信息维护!C:C,MATCH(银行日记账登记!L444,客户信息维护!B:B,0)),IF(K444="支_供应商",INDEX(供应商信息维护!C:C,MATCH(银行日记账登记!L444,供应商信息维护!B:B,0)),""))</f>
        <v>LIWEI JIANG</v>
      </c>
      <c r="N444" t="s">
        <v>1581</v>
      </c>
      <c r="Q444" t="s">
        <v>79</v>
      </c>
      <c r="R444" t="s">
        <v>1582</v>
      </c>
    </row>
    <row r="445" spans="2:18" hidden="1" x14ac:dyDescent="0.25">
      <c r="B445" t="s">
        <v>56</v>
      </c>
      <c r="C445" t="s">
        <v>127</v>
      </c>
      <c r="I445">
        <v>1429.2</v>
      </c>
      <c r="J445" s="10">
        <v>45201</v>
      </c>
      <c r="K445" t="s">
        <v>100</v>
      </c>
      <c r="L445" s="16" t="s">
        <v>427</v>
      </c>
      <c r="M445" s="7" t="str">
        <f>IF(K445="收_客户",INDEX(客户信息维护!C:C,MATCH(银行日记账登记!L445,客户信息维护!B:B,0)),IF(K445="支_供应商",INDEX(供应商信息维护!C:C,MATCH(银行日记账登记!L445,供应商信息维护!B:B,0)),""))</f>
        <v xml:space="preserve">YINGYING MAOXU </v>
      </c>
      <c r="N445" t="s">
        <v>1583</v>
      </c>
      <c r="Q445" t="s">
        <v>79</v>
      </c>
      <c r="R445" t="s">
        <v>1585</v>
      </c>
    </row>
    <row r="446" spans="2:18" hidden="1" x14ac:dyDescent="0.25">
      <c r="B446" t="s">
        <v>56</v>
      </c>
      <c r="C446" t="s">
        <v>127</v>
      </c>
      <c r="I446">
        <v>443.64</v>
      </c>
      <c r="J446" s="10">
        <v>45201</v>
      </c>
      <c r="K446" t="s">
        <v>100</v>
      </c>
      <c r="L446" s="1" t="s">
        <v>868</v>
      </c>
      <c r="M446" s="7" t="str">
        <f>IF(K446="收_客户",INDEX(客户信息维护!C:C,MATCH(银行日记账登记!L446,客户信息维护!B:B,0)),IF(K446="支_供应商",INDEX(供应商信息维护!C:C,MATCH(银行日记账登记!L446,供应商信息维护!B:B,0)),""))</f>
        <v>CHANG ZONG LI</v>
      </c>
      <c r="N446" t="s">
        <v>1584</v>
      </c>
      <c r="Q446" t="s">
        <v>79</v>
      </c>
      <c r="R446" t="s">
        <v>1586</v>
      </c>
    </row>
    <row r="447" spans="2:18" hidden="1" x14ac:dyDescent="0.25">
      <c r="B447" t="s">
        <v>56</v>
      </c>
      <c r="C447" t="s">
        <v>63</v>
      </c>
      <c r="I447">
        <v>361.96</v>
      </c>
      <c r="J447" s="10">
        <v>45201</v>
      </c>
      <c r="K447" t="s">
        <v>100</v>
      </c>
      <c r="L447" s="1" t="s">
        <v>682</v>
      </c>
      <c r="M447" s="7" t="str">
        <f>IF(K447="收_客户",INDEX(客户信息维护!C:C,MATCH(银行日记账登记!L447,客户信息维护!B:B,0)),IF(K447="支_供应商",INDEX(供应商信息维护!C:C,MATCH(银行日记账登记!L447,供应商信息维护!B:B,0)),""))</f>
        <v>CHEN YIBING</v>
      </c>
      <c r="N447" t="s">
        <v>1587</v>
      </c>
      <c r="Q447" t="s">
        <v>79</v>
      </c>
      <c r="R447" t="s">
        <v>1599</v>
      </c>
    </row>
    <row r="448" spans="2:18" hidden="1" x14ac:dyDescent="0.25">
      <c r="B448" t="s">
        <v>56</v>
      </c>
      <c r="C448" t="s">
        <v>63</v>
      </c>
      <c r="I448">
        <v>1572.05</v>
      </c>
      <c r="J448" s="10">
        <v>45201</v>
      </c>
      <c r="K448" t="s">
        <v>100</v>
      </c>
      <c r="L448" s="1" t="s">
        <v>377</v>
      </c>
      <c r="M448" s="7" t="str">
        <f>IF(K448="收_客户",INDEX(客户信息维护!C:C,MATCH(银行日记账登记!L448,客户信息维护!B:B,0)),IF(K448="支_供应商",INDEX(供应商信息维护!C:C,MATCH(银行日记账登记!L448,供应商信息维护!B:B,0)),""))</f>
        <v>RED COOL S.L</v>
      </c>
      <c r="N448" t="s">
        <v>1588</v>
      </c>
      <c r="P448" t="s">
        <v>303</v>
      </c>
      <c r="Q448" t="s">
        <v>79</v>
      </c>
      <c r="R448" t="s">
        <v>1600</v>
      </c>
    </row>
    <row r="449" spans="2:18" hidden="1" x14ac:dyDescent="0.25">
      <c r="B449" t="s">
        <v>56</v>
      </c>
      <c r="C449" t="s">
        <v>63</v>
      </c>
      <c r="I449">
        <v>770.31</v>
      </c>
      <c r="J449" s="10">
        <v>45201</v>
      </c>
      <c r="K449" t="s">
        <v>100</v>
      </c>
      <c r="L449" s="16" t="s">
        <v>1589</v>
      </c>
      <c r="M449" s="7" t="str">
        <f>IF(K449="收_客户",INDEX(客户信息维护!C:C,MATCH(银行日记账登记!L449,客户信息维护!B:B,0)),IF(K449="支_供应商",INDEX(供应商信息维护!C:C,MATCH(银行日记账登记!L449,供应商信息维护!B:B,0)),""))</f>
        <v>GRAN VALLADOLID  S.L</v>
      </c>
      <c r="N449" t="s">
        <v>1591</v>
      </c>
      <c r="P449" t="s">
        <v>303</v>
      </c>
      <c r="Q449" t="s">
        <v>79</v>
      </c>
      <c r="R449" t="s">
        <v>1601</v>
      </c>
    </row>
    <row r="450" spans="2:18" hidden="1" x14ac:dyDescent="0.25">
      <c r="B450" t="s">
        <v>56</v>
      </c>
      <c r="C450" t="s">
        <v>63</v>
      </c>
      <c r="I450">
        <v>952.68</v>
      </c>
      <c r="J450" s="10">
        <v>45201</v>
      </c>
      <c r="K450" t="s">
        <v>100</v>
      </c>
      <c r="L450" s="1" t="s">
        <v>888</v>
      </c>
      <c r="M450" s="7" t="str">
        <f>IF(K450="收_客户",INDEX(客户信息维护!C:C,MATCH(银行日记账登记!L450,客户信息维护!B:B,0)),IF(K450="支_供应商",INDEX(供应商信息维护!C:C,MATCH(银行日记账登记!L450,供应商信息维护!B:B,0)),""))</f>
        <v>HIPER HOGAR POPULAR S.L</v>
      </c>
      <c r="N450" t="s">
        <v>1592</v>
      </c>
      <c r="P450" t="s">
        <v>303</v>
      </c>
      <c r="Q450" t="s">
        <v>79</v>
      </c>
      <c r="R450" t="s">
        <v>1602</v>
      </c>
    </row>
    <row r="451" spans="2:18" hidden="1" x14ac:dyDescent="0.25">
      <c r="B451" t="s">
        <v>56</v>
      </c>
      <c r="C451" t="s">
        <v>63</v>
      </c>
      <c r="I451">
        <v>748.71</v>
      </c>
      <c r="J451" s="10">
        <v>45201</v>
      </c>
      <c r="K451" t="s">
        <v>100</v>
      </c>
      <c r="L451" s="1" t="s">
        <v>1593</v>
      </c>
      <c r="M451" s="7" t="str">
        <f>IF(K451="收_客户",INDEX(客户信息维护!C:C,MATCH(银行日记账登记!L451,客户信息维护!B:B,0)),IF(K451="支_供应商",INDEX(供应商信息维护!C:C,MATCH(银行日记账登记!L451,供应商信息维护!B:B,0)),""))</f>
        <v>CRUZ XECA S.L 陈毅伟</v>
      </c>
      <c r="N451" t="s">
        <v>1595</v>
      </c>
      <c r="P451" t="s">
        <v>303</v>
      </c>
      <c r="Q451" t="s">
        <v>79</v>
      </c>
      <c r="R451" t="s">
        <v>1603</v>
      </c>
    </row>
    <row r="452" spans="2:18" hidden="1" x14ac:dyDescent="0.25">
      <c r="B452" t="s">
        <v>56</v>
      </c>
      <c r="C452" t="s">
        <v>63</v>
      </c>
      <c r="I452">
        <v>-546.65</v>
      </c>
      <c r="J452" s="10">
        <v>45201</v>
      </c>
      <c r="K452" t="s">
        <v>100</v>
      </c>
      <c r="L452" s="1" t="s">
        <v>817</v>
      </c>
      <c r="M452" s="7" t="str">
        <f>IF(K452="收_客户",INDEX(客户信息维护!C:C,MATCH(银行日记账登记!L452,客户信息维护!B:B,0)),IF(K452="支_供应商",INDEX(供应商信息维护!C:C,MATCH(银行日记账登记!L452,供应商信息维护!B:B,0)),""))</f>
        <v>LUOJUN WANG</v>
      </c>
      <c r="N452" t="s">
        <v>1596</v>
      </c>
      <c r="P452" t="s">
        <v>1597</v>
      </c>
      <c r="Q452" t="s">
        <v>79</v>
      </c>
      <c r="R452" t="s">
        <v>1598</v>
      </c>
    </row>
    <row r="453" spans="2:18" hidden="1" x14ac:dyDescent="0.25">
      <c r="B453" t="s">
        <v>56</v>
      </c>
      <c r="C453" t="s">
        <v>127</v>
      </c>
      <c r="I453">
        <v>959.23</v>
      </c>
      <c r="J453" s="10">
        <v>45202</v>
      </c>
      <c r="K453" t="s">
        <v>100</v>
      </c>
      <c r="L453" s="1" t="s">
        <v>567</v>
      </c>
      <c r="M453" s="7" t="str">
        <f>IF(K453="收_客户",INDEX(客户信息维护!C:C,MATCH(银行日记账登记!L453,客户信息维护!B:B,0)),IF(K453="支_供应商",INDEX(供应商信息维护!C:C,MATCH(银行日记账登记!L453,供应商信息维护!B:B,0)),""))</f>
        <v>ASIAN GARDEN SECRET S.L</v>
      </c>
      <c r="N453" t="s">
        <v>1604</v>
      </c>
      <c r="Q453" t="s">
        <v>79</v>
      </c>
      <c r="R453" t="s">
        <v>1609</v>
      </c>
    </row>
    <row r="454" spans="2:18" hidden="1" x14ac:dyDescent="0.25">
      <c r="B454" t="s">
        <v>56</v>
      </c>
      <c r="C454" t="s">
        <v>127</v>
      </c>
      <c r="I454">
        <v>2644.8</v>
      </c>
      <c r="J454" s="10">
        <v>45203</v>
      </c>
      <c r="K454" t="s">
        <v>100</v>
      </c>
      <c r="L454" s="1" t="s">
        <v>1605</v>
      </c>
      <c r="M454" s="7" t="str">
        <f>IF(K454="收_客户",INDEX(客户信息维护!C:C,MATCH(银行日记账登记!L454,客户信息维护!B:B,0)),IF(K454="支_供应商",INDEX(供应商信息维护!C:C,MATCH(银行日记账登记!L454,供应商信息维护!B:B,0)),""))</f>
        <v>BAZAR GRAND FORTUNA S.L</v>
      </c>
      <c r="N454" t="s">
        <v>1607</v>
      </c>
      <c r="Q454" t="s">
        <v>79</v>
      </c>
      <c r="R454" t="s">
        <v>1610</v>
      </c>
    </row>
    <row r="455" spans="2:18" hidden="1" x14ac:dyDescent="0.25">
      <c r="B455" t="s">
        <v>56</v>
      </c>
      <c r="C455" t="s">
        <v>127</v>
      </c>
      <c r="I455">
        <v>720.83</v>
      </c>
      <c r="J455" s="10">
        <v>45203</v>
      </c>
      <c r="K455" t="s">
        <v>100</v>
      </c>
      <c r="L455" s="1" t="s">
        <v>275</v>
      </c>
      <c r="M455" s="7" t="str">
        <f>IF(K455="收_客户",INDEX(客户信息维护!C:C,MATCH(银行日记账登记!L455,客户信息维护!B:B,0)),IF(K455="支_供应商",INDEX(供应商信息维护!C:C,MATCH(银行日记账登记!L455,供应商信息维护!B:B,0)),""))</f>
        <v>TE ESPERAMOS S.L.</v>
      </c>
      <c r="N455" t="s">
        <v>1608</v>
      </c>
      <c r="Q455" t="s">
        <v>79</v>
      </c>
      <c r="R455" t="s">
        <v>1611</v>
      </c>
    </row>
    <row r="456" spans="2:18" hidden="1" x14ac:dyDescent="0.25">
      <c r="B456" t="s">
        <v>56</v>
      </c>
      <c r="C456" t="s">
        <v>63</v>
      </c>
      <c r="I456">
        <v>1295.3900000000001</v>
      </c>
      <c r="J456" s="10">
        <v>45202</v>
      </c>
      <c r="K456" t="s">
        <v>100</v>
      </c>
      <c r="L456" s="1" t="s">
        <v>1612</v>
      </c>
      <c r="M456" s="7" t="str">
        <f>IF(K456="收_客户",INDEX(客户信息维护!C:C,MATCH(银行日记账登记!L456,客户信息维护!B:B,0)),IF(K456="支_供应商",INDEX(供应商信息维护!C:C,MATCH(银行日记账登记!L456,供应商信息维护!B:B,0)),""))</f>
        <v>MCDOG MUSIC S.L</v>
      </c>
      <c r="N456" t="s">
        <v>1614</v>
      </c>
      <c r="P456" t="s">
        <v>303</v>
      </c>
      <c r="Q456" t="s">
        <v>79</v>
      </c>
      <c r="R456" t="s">
        <v>1621</v>
      </c>
    </row>
    <row r="457" spans="2:18" hidden="1" x14ac:dyDescent="0.25">
      <c r="B457" t="s">
        <v>56</v>
      </c>
      <c r="C457" t="s">
        <v>63</v>
      </c>
      <c r="I457">
        <v>1303</v>
      </c>
      <c r="J457" s="10">
        <v>45202</v>
      </c>
      <c r="K457" t="s">
        <v>100</v>
      </c>
      <c r="L457" s="1" t="s">
        <v>1615</v>
      </c>
      <c r="M457" s="7" t="str">
        <f>IF(K457="收_客户",INDEX(客户信息维护!C:C,MATCH(银行日记账登记!L457,客户信息维护!B:B,0)),IF(K457="支_供应商",INDEX(供应商信息维护!C:C,MATCH(银行日记账登记!L457,供应商信息维护!B:B,0)),""))</f>
        <v>CASA DE FAMILIA 2015 S.L</v>
      </c>
      <c r="N457" t="s">
        <v>1617</v>
      </c>
      <c r="P457" t="s">
        <v>303</v>
      </c>
      <c r="Q457" t="s">
        <v>79</v>
      </c>
      <c r="R457" t="s">
        <v>1622</v>
      </c>
    </row>
    <row r="458" spans="2:18" hidden="1" x14ac:dyDescent="0.25">
      <c r="B458" t="s">
        <v>56</v>
      </c>
      <c r="C458" t="s">
        <v>63</v>
      </c>
      <c r="I458">
        <v>336.06</v>
      </c>
      <c r="J458" s="10">
        <v>45202</v>
      </c>
      <c r="K458" t="s">
        <v>100</v>
      </c>
      <c r="L458" s="1" t="s">
        <v>1618</v>
      </c>
      <c r="M458" s="7" t="str">
        <f>IF(K458="收_客户",INDEX(客户信息维护!C:C,MATCH(银行日记账登记!L458,客户信息维护!B:B,0)),IF(K458="支_供应商",INDEX(供应商信息维护!C:C,MATCH(银行日记账登记!L458,供应商信息维护!B:B,0)),""))</f>
        <v>FU DOU DOU GRAN AHORRO S.L</v>
      </c>
      <c r="N458" t="s">
        <v>1620</v>
      </c>
      <c r="Q458" t="s">
        <v>79</v>
      </c>
      <c r="R458" t="s">
        <v>1623</v>
      </c>
    </row>
    <row r="459" spans="2:18" hidden="1" x14ac:dyDescent="0.25">
      <c r="B459" t="s">
        <v>56</v>
      </c>
      <c r="C459" t="s">
        <v>63</v>
      </c>
      <c r="I459">
        <v>5794.78</v>
      </c>
      <c r="J459" s="10">
        <v>45203</v>
      </c>
      <c r="K459" t="s">
        <v>100</v>
      </c>
      <c r="L459" s="1" t="s">
        <v>662</v>
      </c>
      <c r="M459" s="7" t="str">
        <f>IF(K459="收_客户",INDEX(客户信息维护!C:C,MATCH(银行日记账登记!L459,客户信息维护!B:B,0)),IF(K459="支_供应商",INDEX(供应商信息维护!C:C,MATCH(银行日记账登记!L459,供应商信息维护!B:B,0)),""))</f>
        <v>STOCK IN SPAIN ELECTRONICS S.L 步步高</v>
      </c>
      <c r="N459" t="s">
        <v>1624</v>
      </c>
      <c r="P459" t="s">
        <v>303</v>
      </c>
      <c r="Q459" t="s">
        <v>79</v>
      </c>
      <c r="R459" t="s">
        <v>1627</v>
      </c>
    </row>
    <row r="460" spans="2:18" hidden="1" x14ac:dyDescent="0.25">
      <c r="B460" t="s">
        <v>56</v>
      </c>
      <c r="C460" t="s">
        <v>63</v>
      </c>
      <c r="I460">
        <v>679.2</v>
      </c>
      <c r="J460" s="10">
        <v>45204</v>
      </c>
      <c r="K460" t="s">
        <v>100</v>
      </c>
      <c r="L460" s="1" t="s">
        <v>414</v>
      </c>
      <c r="M460" s="7" t="str">
        <f>IF(K460="收_客户",INDEX(客户信息维护!C:C,MATCH(银行日记账登记!L460,客户信息维护!B:B,0)),IF(K460="支_供应商",INDEX(供应商信息维护!C:C,MATCH(银行日记账登记!L460,供应商信息维护!B:B,0)),""))</f>
        <v>HUANLIANG YANG</v>
      </c>
      <c r="N460" t="s">
        <v>1625</v>
      </c>
      <c r="Q460" t="s">
        <v>79</v>
      </c>
      <c r="R460" t="s">
        <v>1628</v>
      </c>
    </row>
    <row r="461" spans="2:18" hidden="1" x14ac:dyDescent="0.25">
      <c r="B461" t="s">
        <v>56</v>
      </c>
      <c r="C461" t="s">
        <v>63</v>
      </c>
      <c r="I461">
        <v>2993.4</v>
      </c>
      <c r="J461" s="10">
        <v>45204</v>
      </c>
      <c r="K461" t="s">
        <v>100</v>
      </c>
      <c r="L461" s="1" t="s">
        <v>635</v>
      </c>
      <c r="M461" s="7" t="str">
        <f>IF(K461="收_客户",INDEX(客户信息维护!C:C,MATCH(银行日记账登记!L461,客户信息维护!B:B,0)),IF(K461="支_供应商",INDEX(供应商信息维护!C:C,MATCH(银行日记账登记!L461,供应商信息维护!B:B,0)),""))</f>
        <v>LITXU MEGAPARK S.L.</v>
      </c>
      <c r="N461" t="s">
        <v>1626</v>
      </c>
      <c r="Q461" t="s">
        <v>79</v>
      </c>
      <c r="R461" t="s">
        <v>1629</v>
      </c>
    </row>
    <row r="462" spans="2:18" hidden="1" x14ac:dyDescent="0.25">
      <c r="B462" t="s">
        <v>60</v>
      </c>
      <c r="C462" t="s">
        <v>66</v>
      </c>
      <c r="I462">
        <v>523.16999999999996</v>
      </c>
      <c r="J462" s="10">
        <v>45202</v>
      </c>
      <c r="K462" t="s">
        <v>100</v>
      </c>
      <c r="L462" s="16" t="s">
        <v>194</v>
      </c>
      <c r="M462" s="7" t="str">
        <f>IF(K462="收_客户",INDEX(客户信息维护!C:C,MATCH(银行日记账登记!L462,客户信息维护!B:B,0)),IF(K462="支_供应商",INDEX(供应商信息维护!C:C,MATCH(银行日记账登记!L462,供应商信息维护!B:B,0)),""))</f>
        <v>AURORA CELESTIAL UNIPESSOAL LDA 徐正益</v>
      </c>
      <c r="N462" t="s">
        <v>1630</v>
      </c>
      <c r="Q462" t="s">
        <v>79</v>
      </c>
      <c r="R462" t="s">
        <v>1634</v>
      </c>
    </row>
    <row r="463" spans="2:18" hidden="1" x14ac:dyDescent="0.25">
      <c r="B463" t="s">
        <v>60</v>
      </c>
      <c r="C463" t="s">
        <v>66</v>
      </c>
      <c r="I463">
        <v>2134.9899999999998</v>
      </c>
      <c r="J463" s="10">
        <v>45202</v>
      </c>
      <c r="K463" t="s">
        <v>100</v>
      </c>
      <c r="L463" s="16" t="s">
        <v>1631</v>
      </c>
      <c r="M463" s="7" t="str">
        <f>IF(K463="收_客户",INDEX(客户信息维护!C:C,MATCH(银行日记账登记!L463,客户信息维护!B:B,0)),IF(K463="支_供应商",INDEX(供应商信息维护!C:C,MATCH(银行日记账登记!L463,供应商信息维护!B:B,0)),""))</f>
        <v>HIPER CHINA LDA 许国栋</v>
      </c>
      <c r="N463" t="s">
        <v>1633</v>
      </c>
      <c r="P463" t="s">
        <v>303</v>
      </c>
      <c r="Q463" t="s">
        <v>79</v>
      </c>
      <c r="R463" t="s">
        <v>1635</v>
      </c>
    </row>
    <row r="464" spans="2:18" hidden="1" x14ac:dyDescent="0.25">
      <c r="B464" t="s">
        <v>56</v>
      </c>
      <c r="C464" t="s">
        <v>127</v>
      </c>
      <c r="I464">
        <v>195</v>
      </c>
      <c r="J464" s="10">
        <v>45204</v>
      </c>
      <c r="K464" t="s">
        <v>100</v>
      </c>
      <c r="L464" s="1" t="s">
        <v>742</v>
      </c>
      <c r="M464" s="7" t="str">
        <f>IF(K464="收_客户",INDEX(客户信息维护!C:C,MATCH(银行日记账登记!L464,客户信息维护!B:B,0)),IF(K464="支_供应商",INDEX(供应商信息维护!C:C,MATCH(银行日记账登记!L464,供应商信息维护!B:B,0)),""))</f>
        <v>RACHIDA CHAABI</v>
      </c>
      <c r="P464" t="s">
        <v>1637</v>
      </c>
      <c r="Q464" t="s">
        <v>79</v>
      </c>
      <c r="R464" t="s">
        <v>1639</v>
      </c>
    </row>
    <row r="465" spans="2:18" hidden="1" x14ac:dyDescent="0.25">
      <c r="B465" t="s">
        <v>56</v>
      </c>
      <c r="C465" t="s">
        <v>127</v>
      </c>
      <c r="I465">
        <v>1539.1</v>
      </c>
      <c r="J465" s="10">
        <v>45205</v>
      </c>
      <c r="K465" t="s">
        <v>100</v>
      </c>
      <c r="L465" s="1" t="s">
        <v>1151</v>
      </c>
      <c r="M465" s="7" t="str">
        <f>IF(K465="收_客户",INDEX(客户信息维护!C:C,MATCH(银行日记账登记!L465,客户信息维护!B:B,0)),IF(K465="支_供应商",INDEX(供应商信息维护!C:C,MATCH(银行日记账登记!L465,供应商信息维护!B:B,0)),""))</f>
        <v>XINXIN SHANGCHANG S.L</v>
      </c>
      <c r="N465" t="s">
        <v>1636</v>
      </c>
      <c r="Q465" t="s">
        <v>79</v>
      </c>
      <c r="R465" t="s">
        <v>1640</v>
      </c>
    </row>
    <row r="466" spans="2:18" hidden="1" x14ac:dyDescent="0.25">
      <c r="B466" t="s">
        <v>56</v>
      </c>
      <c r="C466" t="s">
        <v>127</v>
      </c>
      <c r="I466">
        <v>831.15</v>
      </c>
      <c r="J466" s="10">
        <v>45205</v>
      </c>
      <c r="K466" t="s">
        <v>100</v>
      </c>
      <c r="L466" s="1" t="s">
        <v>928</v>
      </c>
      <c r="M466" s="7" t="str">
        <f>IF(K466="收_客户",INDEX(客户信息维护!C:C,MATCH(银行日记账登记!L466,客户信息维护!B:B,0)),IF(K466="支_供应商",INDEX(供应商信息维护!C:C,MATCH(银行日记账登记!L466,供应商信息维护!B:B,0)),""))</f>
        <v>BAZAR LEGANES CENTRAL S.L</v>
      </c>
      <c r="N466" t="s">
        <v>1638</v>
      </c>
      <c r="Q466" t="s">
        <v>79</v>
      </c>
      <c r="R466" t="s">
        <v>1641</v>
      </c>
    </row>
    <row r="467" spans="2:18" hidden="1" x14ac:dyDescent="0.25">
      <c r="B467" t="s">
        <v>56</v>
      </c>
      <c r="C467" t="s">
        <v>127</v>
      </c>
      <c r="I467">
        <v>988.97</v>
      </c>
      <c r="J467" s="10">
        <v>45206</v>
      </c>
      <c r="K467" t="s">
        <v>100</v>
      </c>
      <c r="L467" s="1" t="s">
        <v>1330</v>
      </c>
      <c r="M467" s="7" t="str">
        <f>IF(K467="收_客户",INDEX(客户信息维护!C:C,MATCH(银行日记账登记!L467,客户信息维护!B:B,0)),IF(K467="支_供应商",INDEX(供应商信息维护!C:C,MATCH(银行日记账登记!L467,供应商信息维护!B:B,0)),""))</f>
        <v>IUNTECH GALICIA S.L 齐力分公司</v>
      </c>
      <c r="N467" t="s">
        <v>1642</v>
      </c>
      <c r="Q467" t="s">
        <v>79</v>
      </c>
      <c r="R467" t="s">
        <v>1643</v>
      </c>
    </row>
    <row r="468" spans="2:18" hidden="1" x14ac:dyDescent="0.25">
      <c r="B468" t="s">
        <v>60</v>
      </c>
      <c r="C468" t="s">
        <v>66</v>
      </c>
      <c r="I468">
        <v>1566.38</v>
      </c>
      <c r="J468" s="10">
        <v>45208</v>
      </c>
      <c r="K468" t="s">
        <v>100</v>
      </c>
      <c r="L468" s="16" t="s">
        <v>1644</v>
      </c>
      <c r="M468" s="7" t="str">
        <f>IF(K468="收_客户",INDEX(客户信息维护!C:C,MATCH(银行日记账登记!L468,客户信息维护!B:B,0)),IF(K468="支_供应商",INDEX(供应商信息维护!C:C,MATCH(银行日记账登记!L468,供应商信息维护!B:B,0)),""))</f>
        <v>LIU HAIGUANG 刘海光</v>
      </c>
      <c r="N468" t="s">
        <v>1646</v>
      </c>
      <c r="Q468" t="s">
        <v>79</v>
      </c>
      <c r="R468" t="s">
        <v>1647</v>
      </c>
    </row>
    <row r="469" spans="2:18" hidden="1" x14ac:dyDescent="0.25">
      <c r="B469" t="s">
        <v>56</v>
      </c>
      <c r="C469" t="s">
        <v>63</v>
      </c>
      <c r="I469">
        <v>2588.8200000000002</v>
      </c>
      <c r="J469" s="10">
        <v>45205</v>
      </c>
      <c r="K469" t="s">
        <v>100</v>
      </c>
      <c r="L469" s="1" t="s">
        <v>1648</v>
      </c>
      <c r="M469" s="7" t="str">
        <f>IF(K469="收_客户",INDEX(客户信息维护!C:C,MATCH(银行日记账登记!L469,客户信息维护!B:B,0)),IF(K469="支_供应商",INDEX(供应商信息维护!C:C,MATCH(银行日记账登记!L469,供应商信息维护!B:B,0)),""))</f>
        <v>MINGJIN LUO</v>
      </c>
      <c r="N469" t="s">
        <v>1650</v>
      </c>
      <c r="Q469" t="s">
        <v>79</v>
      </c>
      <c r="R469" t="s">
        <v>1661</v>
      </c>
    </row>
    <row r="470" spans="2:18" hidden="1" x14ac:dyDescent="0.25">
      <c r="B470" t="s">
        <v>56</v>
      </c>
      <c r="C470" t="s">
        <v>63</v>
      </c>
      <c r="I470">
        <v>1099.44</v>
      </c>
      <c r="J470" s="10">
        <v>45205</v>
      </c>
      <c r="K470" t="s">
        <v>100</v>
      </c>
      <c r="L470" s="1" t="s">
        <v>1485</v>
      </c>
      <c r="M470" s="7" t="str">
        <f>IF(K470="收_客户",INDEX(客户信息维护!C:C,MATCH(银行日记账登记!L470,客户信息维护!B:B,0)),IF(K470="支_供应商",INDEX(供应商信息维护!C:C,MATCH(银行日记账登记!L470,供应商信息维护!B:B,0)),""))</f>
        <v>HOME WEI 88 S.L</v>
      </c>
      <c r="N470" t="s">
        <v>1660</v>
      </c>
      <c r="P470" t="s">
        <v>1651</v>
      </c>
      <c r="Q470" t="s">
        <v>79</v>
      </c>
      <c r="R470" t="s">
        <v>1662</v>
      </c>
    </row>
    <row r="471" spans="2:18" hidden="1" x14ac:dyDescent="0.25">
      <c r="B471" t="s">
        <v>56</v>
      </c>
      <c r="C471" t="s">
        <v>63</v>
      </c>
      <c r="I471">
        <v>521.25</v>
      </c>
      <c r="J471" s="10">
        <v>45205</v>
      </c>
      <c r="K471" t="s">
        <v>100</v>
      </c>
      <c r="L471" s="1" t="s">
        <v>1652</v>
      </c>
      <c r="M471" s="7" t="str">
        <f>IF(K471="收_客户",INDEX(客户信息维护!C:C,MATCH(银行日记账登记!L471,客户信息维护!B:B,0)),IF(K471="支_供应商",INDEX(供应商信息维护!C:C,MATCH(银行日记账登记!L471,供应商信息维护!B:B,0)),""))</f>
        <v>MAXICHINA SEXTO MADRID S.L</v>
      </c>
      <c r="N471" t="s">
        <v>1654</v>
      </c>
      <c r="P471" t="s">
        <v>303</v>
      </c>
      <c r="Q471" t="s">
        <v>79</v>
      </c>
      <c r="R471" t="s">
        <v>1663</v>
      </c>
    </row>
    <row r="472" spans="2:18" hidden="1" x14ac:dyDescent="0.25">
      <c r="B472" t="s">
        <v>56</v>
      </c>
      <c r="C472" t="s">
        <v>63</v>
      </c>
      <c r="I472">
        <v>3595.62</v>
      </c>
      <c r="J472" s="10">
        <v>45205</v>
      </c>
      <c r="K472" t="s">
        <v>100</v>
      </c>
      <c r="L472" s="1" t="s">
        <v>1252</v>
      </c>
      <c r="M472" s="7" t="str">
        <f>IF(K472="收_客户",INDEX(客户信息维护!C:C,MATCH(银行日记账登记!L472,客户信息维护!B:B,0)),IF(K472="支_供应商",INDEX(供应商信息维护!C:C,MATCH(银行日记账登记!L472,供应商信息维护!B:B,0)),""))</f>
        <v>GRAN FAMILIA 2016 S.L 永顺</v>
      </c>
      <c r="N472" t="s">
        <v>1655</v>
      </c>
      <c r="P472" t="s">
        <v>303</v>
      </c>
      <c r="Q472" t="s">
        <v>79</v>
      </c>
      <c r="R472" t="s">
        <v>1664</v>
      </c>
    </row>
    <row r="473" spans="2:18" hidden="1" x14ac:dyDescent="0.25">
      <c r="B473" t="s">
        <v>56</v>
      </c>
      <c r="C473" t="s">
        <v>63</v>
      </c>
      <c r="I473">
        <v>215.99</v>
      </c>
      <c r="J473" s="10">
        <v>45205</v>
      </c>
      <c r="K473" t="s">
        <v>100</v>
      </c>
      <c r="L473" s="1" t="s">
        <v>685</v>
      </c>
      <c r="M473" s="7" t="str">
        <f>IF(K473="收_客户",INDEX(客户信息维护!C:C,MATCH(银行日记账登记!L473,客户信息维护!B:B,0)),IF(K473="支_供应商",INDEX(供应商信息维护!C:C,MATCH(银行日记账登记!L473,供应商信息维护!B:B,0)),""))</f>
        <v>KUNFANG ZHU</v>
      </c>
      <c r="N473" t="s">
        <v>1656</v>
      </c>
      <c r="Q473" t="s">
        <v>79</v>
      </c>
      <c r="R473" t="s">
        <v>1665</v>
      </c>
    </row>
    <row r="474" spans="2:18" hidden="1" x14ac:dyDescent="0.25">
      <c r="B474" t="s">
        <v>56</v>
      </c>
      <c r="C474" t="s">
        <v>63</v>
      </c>
      <c r="I474">
        <v>215.99</v>
      </c>
      <c r="J474" s="10">
        <v>45205</v>
      </c>
      <c r="K474" t="s">
        <v>100</v>
      </c>
      <c r="L474" s="1" t="s">
        <v>685</v>
      </c>
      <c r="M474" s="7" t="str">
        <f>IF(K474="收_客户",INDEX(客户信息维护!C:C,MATCH(银行日记账登记!L474,客户信息维护!B:B,0)),IF(K474="支_供应商",INDEX(供应商信息维护!C:C,MATCH(银行日记账登记!L474,供应商信息维护!B:B,0)),""))</f>
        <v>KUNFANG ZHU</v>
      </c>
      <c r="N474" t="s">
        <v>1657</v>
      </c>
      <c r="Q474" t="s">
        <v>79</v>
      </c>
      <c r="R474" t="s">
        <v>1666</v>
      </c>
    </row>
    <row r="475" spans="2:18" hidden="1" x14ac:dyDescent="0.25">
      <c r="B475" t="s">
        <v>56</v>
      </c>
      <c r="C475" t="s">
        <v>63</v>
      </c>
      <c r="I475">
        <v>1705.9</v>
      </c>
      <c r="J475" s="10">
        <v>45205</v>
      </c>
      <c r="K475" t="s">
        <v>100</v>
      </c>
      <c r="L475" s="1" t="s">
        <v>1032</v>
      </c>
      <c r="M475" s="7" t="str">
        <f>IF(K475="收_客户",INDEX(客户信息维护!C:C,MATCH(银行日记账登记!L475,客户信息维护!B:B,0)),IF(K475="支_供应商",INDEX(供应商信息维护!C:C,MATCH(银行日记账登记!L475,供应商信息维护!B:B,0)),""))</f>
        <v>GRAN BAZAR FAMILIA S.L</v>
      </c>
      <c r="N475" t="s">
        <v>1658</v>
      </c>
      <c r="Q475" t="s">
        <v>79</v>
      </c>
      <c r="R475" t="s">
        <v>1667</v>
      </c>
    </row>
    <row r="476" spans="2:18" hidden="1" x14ac:dyDescent="0.25">
      <c r="B476" t="s">
        <v>56</v>
      </c>
      <c r="C476" t="s">
        <v>63</v>
      </c>
      <c r="I476">
        <v>889.96</v>
      </c>
      <c r="J476" s="10">
        <v>45208</v>
      </c>
      <c r="K476" t="s">
        <v>100</v>
      </c>
      <c r="L476" s="1" t="s">
        <v>1507</v>
      </c>
      <c r="M476" s="7" t="str">
        <f>IF(K476="收_客户",INDEX(客户信息维护!C:C,MATCH(银行日记账登记!L476,客户信息维护!B:B,0)),IF(K476="支_供应商",INDEX(供应商信息维护!C:C,MATCH(银行日记账登记!L476,供应商信息维护!B:B,0)),""))</f>
        <v>GRAN LAGUNA 2011 S.L</v>
      </c>
      <c r="N476" t="s">
        <v>1659</v>
      </c>
      <c r="P476" t="s">
        <v>303</v>
      </c>
      <c r="Q476" t="s">
        <v>79</v>
      </c>
      <c r="R476" t="s">
        <v>1668</v>
      </c>
    </row>
    <row r="477" spans="2:18" hidden="1" x14ac:dyDescent="0.25">
      <c r="B477" t="s">
        <v>56</v>
      </c>
      <c r="C477" t="s">
        <v>127</v>
      </c>
      <c r="I477">
        <v>306.77</v>
      </c>
      <c r="J477" s="10">
        <v>45208</v>
      </c>
      <c r="K477" t="s">
        <v>100</v>
      </c>
      <c r="L477" s="1" t="s">
        <v>1128</v>
      </c>
      <c r="M477" s="7" t="str">
        <f>IF(K477="收_客户",INDEX(客户信息维护!C:C,MATCH(银行日记账登记!L477,客户信息维护!B:B,0)),IF(K477="支_供应商",INDEX(供应商信息维护!C:C,MATCH(银行日记账登记!L477,供应商信息维护!B:B,0)),""))</f>
        <v>GRAN MEDINA S.L</v>
      </c>
      <c r="N477" t="s">
        <v>1669</v>
      </c>
      <c r="Q477" t="s">
        <v>79</v>
      </c>
      <c r="R477" t="s">
        <v>1677</v>
      </c>
    </row>
    <row r="478" spans="2:18" hidden="1" x14ac:dyDescent="0.25">
      <c r="B478" t="s">
        <v>56</v>
      </c>
      <c r="C478" t="s">
        <v>127</v>
      </c>
      <c r="I478">
        <v>357.01</v>
      </c>
      <c r="J478" s="10">
        <v>45208</v>
      </c>
      <c r="K478" t="s">
        <v>100</v>
      </c>
      <c r="L478" s="1" t="s">
        <v>304</v>
      </c>
      <c r="M478" s="7" t="str">
        <f>IF(K478="收_客户",INDEX(客户信息维护!C:C,MATCH(银行日记账登记!L478,客户信息维护!B:B,0)),IF(K478="支_供应商",INDEX(供应商信息维护!C:C,MATCH(银行日记账登记!L478,供应商信息维护!B:B,0)),""))</f>
        <v>EL AZRAK MERJANI HAMZA</v>
      </c>
      <c r="N478" t="s">
        <v>1670</v>
      </c>
      <c r="Q478" t="s">
        <v>79</v>
      </c>
      <c r="R478" t="s">
        <v>1678</v>
      </c>
    </row>
    <row r="479" spans="2:18" hidden="1" x14ac:dyDescent="0.25">
      <c r="B479" t="s">
        <v>56</v>
      </c>
      <c r="C479" t="s">
        <v>127</v>
      </c>
      <c r="I479">
        <v>3047.59</v>
      </c>
      <c r="J479" s="10">
        <v>45209</v>
      </c>
      <c r="K479" t="s">
        <v>100</v>
      </c>
      <c r="L479" s="1" t="s">
        <v>1671</v>
      </c>
      <c r="M479" s="7" t="str">
        <f>IF(K479="收_客户",INDEX(客户信息维护!C:C,MATCH(银行日记账登记!L479,客户信息维护!B:B,0)),IF(K479="支_供应商",INDEX(供应商信息维护!C:C,MATCH(银行日记账登记!L479,供应商信息维护!B:B,0)),""))</f>
        <v>MIGO ISLA S.L</v>
      </c>
      <c r="N479" t="s">
        <v>1673</v>
      </c>
      <c r="Q479" t="s">
        <v>79</v>
      </c>
      <c r="R479" t="s">
        <v>1679</v>
      </c>
    </row>
    <row r="480" spans="2:18" hidden="1" x14ac:dyDescent="0.25">
      <c r="B480" t="s">
        <v>56</v>
      </c>
      <c r="C480" t="s">
        <v>127</v>
      </c>
      <c r="I480">
        <v>1852.05</v>
      </c>
      <c r="J480" s="10">
        <v>45209</v>
      </c>
      <c r="K480" t="s">
        <v>100</v>
      </c>
      <c r="L480" s="1" t="s">
        <v>1674</v>
      </c>
      <c r="M480" s="7" t="str">
        <f>IF(K480="收_客户",INDEX(客户信息维护!C:C,MATCH(银行日记账登记!L480,客户信息维护!B:B,0)),IF(K480="支_供应商",INDEX(供应商信息维护!C:C,MATCH(银行日记账登记!L480,供应商信息维护!B:B,0)),""))</f>
        <v>XIAOLAN HE</v>
      </c>
      <c r="N480" t="s">
        <v>1676</v>
      </c>
      <c r="Q480" t="s">
        <v>79</v>
      </c>
      <c r="R480" t="s">
        <v>1680</v>
      </c>
    </row>
    <row r="481" spans="2:18" hidden="1" x14ac:dyDescent="0.25">
      <c r="B481" t="s">
        <v>55</v>
      </c>
      <c r="C481" t="s">
        <v>148</v>
      </c>
      <c r="I481">
        <v>1097.78</v>
      </c>
      <c r="J481" s="10">
        <v>45209</v>
      </c>
      <c r="K481" t="s">
        <v>100</v>
      </c>
      <c r="L481" s="1" t="s">
        <v>1681</v>
      </c>
      <c r="M481" s="7" t="str">
        <f>IF(K481="收_客户",INDEX(客户信息维护!C:C,MATCH(银行日记账登记!L481,客户信息维护!B:B,0)),IF(K481="支_供应商",INDEX(供应商信息维护!C:C,MATCH(银行日记账登记!L481,供应商信息维护!B:B,0)),""))</f>
        <v>GAOPING XU</v>
      </c>
      <c r="N481" t="s">
        <v>1683</v>
      </c>
      <c r="Q481" t="s">
        <v>79</v>
      </c>
      <c r="R481" t="s">
        <v>1684</v>
      </c>
    </row>
    <row r="482" spans="2:18" hidden="1" x14ac:dyDescent="0.25">
      <c r="B482" t="s">
        <v>60</v>
      </c>
      <c r="C482" t="s">
        <v>66</v>
      </c>
      <c r="I482">
        <v>1761.38</v>
      </c>
      <c r="J482" s="10">
        <v>45209</v>
      </c>
      <c r="K482" t="s">
        <v>100</v>
      </c>
      <c r="L482" s="16" t="s">
        <v>190</v>
      </c>
      <c r="M482" s="7" t="str">
        <f>IF(K482="收_客户",INDEX(客户信息维护!C:C,MATCH(银行日记账登记!L482,客户信息维护!B:B,0)),IF(K482="支_供应商",INDEX(供应商信息维护!C:C,MATCH(银行日记账登记!L482,供应商信息维护!B:B,0)),""))</f>
        <v>TREVO SOBERANO LDA</v>
      </c>
      <c r="N482" t="s">
        <v>1685</v>
      </c>
      <c r="Q482" t="s">
        <v>79</v>
      </c>
      <c r="R482" t="s">
        <v>1689</v>
      </c>
    </row>
    <row r="483" spans="2:18" hidden="1" x14ac:dyDescent="0.25">
      <c r="B483" t="s">
        <v>60</v>
      </c>
      <c r="C483" t="s">
        <v>66</v>
      </c>
      <c r="I483">
        <v>1101.07</v>
      </c>
      <c r="J483" s="10">
        <v>45209</v>
      </c>
      <c r="K483" t="s">
        <v>100</v>
      </c>
      <c r="L483" s="16" t="s">
        <v>1686</v>
      </c>
      <c r="M483" s="7" t="str">
        <f>IF(K483="收_客户",INDEX(客户信息维护!C:C,MATCH(银行日记账登记!L483,客户信息维护!B:B,0)),IF(K483="支_供应商",INDEX(供应商信息维护!C:C,MATCH(银行日记账登记!L483,供应商信息维护!B:B,0)),""))</f>
        <v>YUEBIN CHEN</v>
      </c>
      <c r="N483" t="s">
        <v>1688</v>
      </c>
      <c r="Q483" t="s">
        <v>79</v>
      </c>
      <c r="R483" t="s">
        <v>1690</v>
      </c>
    </row>
    <row r="484" spans="2:18" hidden="1" x14ac:dyDescent="0.25">
      <c r="B484" t="s">
        <v>56</v>
      </c>
      <c r="C484" t="s">
        <v>63</v>
      </c>
      <c r="I484">
        <v>232.97</v>
      </c>
      <c r="J484" s="10">
        <v>45209</v>
      </c>
      <c r="K484" t="s">
        <v>100</v>
      </c>
      <c r="L484" s="16" t="s">
        <v>1691</v>
      </c>
      <c r="M484" s="7" t="str">
        <f>IF(K484="收_客户",INDEX(客户信息维护!C:C,MATCH(银行日记账登记!L484,客户信息维护!B:B,0)),IF(K484="支_供应商",INDEX(供应商信息维护!C:C,MATCH(银行日记账登记!L484,供应商信息维护!B:B,0)),""))</f>
        <v>SHIYUE ZHOU HUANG</v>
      </c>
      <c r="N484" t="s">
        <v>1693</v>
      </c>
      <c r="Q484" t="s">
        <v>79</v>
      </c>
      <c r="R484" t="s">
        <v>1698</v>
      </c>
    </row>
    <row r="485" spans="2:18" hidden="1" x14ac:dyDescent="0.25">
      <c r="B485" t="s">
        <v>56</v>
      </c>
      <c r="C485" t="s">
        <v>63</v>
      </c>
      <c r="I485">
        <v>3920.6</v>
      </c>
      <c r="J485" s="10">
        <v>45209</v>
      </c>
      <c r="K485" t="s">
        <v>100</v>
      </c>
      <c r="L485" s="1" t="s">
        <v>1694</v>
      </c>
      <c r="M485" s="7" t="str">
        <f>IF(K485="收_客户",INDEX(客户信息维护!C:C,MATCH(银行日记账登记!L485,客户信息维护!B:B,0)),IF(K485="支_供应商",INDEX(供应商信息维护!C:C,MATCH(银行日记账登记!L485,供应商信息维护!B:B,0)),""))</f>
        <v>MULTI CENTRO 1944 S.L 陈卫煌连锁</v>
      </c>
      <c r="N485" t="s">
        <v>1696</v>
      </c>
      <c r="P485" t="s">
        <v>1697</v>
      </c>
      <c r="Q485" t="s">
        <v>79</v>
      </c>
      <c r="R485" t="s">
        <v>1699</v>
      </c>
    </row>
    <row r="486" spans="2:18" hidden="1" x14ac:dyDescent="0.25">
      <c r="B486" t="s">
        <v>60</v>
      </c>
      <c r="C486" t="s">
        <v>350</v>
      </c>
      <c r="I486">
        <v>789.25</v>
      </c>
      <c r="J486" s="10">
        <v>45209</v>
      </c>
      <c r="K486" t="s">
        <v>100</v>
      </c>
      <c r="L486" s="16" t="s">
        <v>572</v>
      </c>
      <c r="M486" s="7" t="str">
        <f>IF(K486="收_客户",INDEX(客户信息维护!C:C,MATCH(银行日记账登记!L486,客户信息维护!B:B,0)),IF(K486="支_供应商",INDEX(供应商信息维护!C:C,MATCH(银行日记账登记!L486,供应商信息维护!B:B,0)),""))</f>
        <v>WEIYUE LIU</v>
      </c>
      <c r="N486" t="s">
        <v>1700</v>
      </c>
      <c r="Q486" t="s">
        <v>79</v>
      </c>
      <c r="R486" t="s">
        <v>1701</v>
      </c>
    </row>
    <row r="487" spans="2:18" hidden="1" x14ac:dyDescent="0.25">
      <c r="B487" t="s">
        <v>56</v>
      </c>
      <c r="C487" t="s">
        <v>127</v>
      </c>
      <c r="I487">
        <v>464.99</v>
      </c>
      <c r="J487" s="10">
        <v>45209</v>
      </c>
      <c r="K487" t="s">
        <v>100</v>
      </c>
      <c r="L487" s="1" t="s">
        <v>783</v>
      </c>
      <c r="M487" s="7" t="str">
        <f>IF(K487="收_客户",INDEX(客户信息维护!C:C,MATCH(银行日记账登记!L487,客户信息维护!B:B,0)),IF(K487="支_供应商",INDEX(供应商信息维护!C:C,MATCH(银行日记账登记!L487,供应商信息维护!B:B,0)),""))</f>
        <v>ZHU HUANHAI</v>
      </c>
      <c r="N487" t="s">
        <v>1702</v>
      </c>
      <c r="Q487" t="s">
        <v>79</v>
      </c>
      <c r="R487" t="s">
        <v>1703</v>
      </c>
    </row>
    <row r="488" spans="2:18" hidden="1" x14ac:dyDescent="0.25">
      <c r="B488" t="s">
        <v>56</v>
      </c>
      <c r="C488" t="s">
        <v>63</v>
      </c>
      <c r="I488">
        <v>236.89</v>
      </c>
      <c r="J488" s="10">
        <v>45209</v>
      </c>
      <c r="K488" t="s">
        <v>100</v>
      </c>
      <c r="L488" s="1" t="s">
        <v>408</v>
      </c>
      <c r="M488" s="7" t="str">
        <f>IF(K488="收_客户",INDEX(客户信息维护!C:C,MATCH(银行日记账登记!L488,客户信息维护!B:B,0)),IF(K488="支_供应商",INDEX(供应商信息维护!C:C,MATCH(银行日记账登记!L488,供应商信息维护!B:B,0)),""))</f>
        <v>LE WANG</v>
      </c>
      <c r="N488" t="s">
        <v>1704</v>
      </c>
      <c r="Q488" t="s">
        <v>79</v>
      </c>
      <c r="R488" t="s">
        <v>1706</v>
      </c>
    </row>
    <row r="489" spans="2:18" hidden="1" x14ac:dyDescent="0.25">
      <c r="B489" t="s">
        <v>56</v>
      </c>
      <c r="C489" t="s">
        <v>63</v>
      </c>
      <c r="I489">
        <v>442.87</v>
      </c>
      <c r="J489" s="10">
        <v>45209</v>
      </c>
      <c r="K489" t="s">
        <v>100</v>
      </c>
      <c r="L489" s="1" t="s">
        <v>842</v>
      </c>
      <c r="M489" s="7" t="str">
        <f>IF(K489="收_客户",INDEX(客户信息维护!C:C,MATCH(银行日记账登记!L489,客户信息维护!B:B,0)),IF(K489="支_供应商",INDEX(供应商信息维护!C:C,MATCH(银行日记账登记!L489,供应商信息维护!B:B,0)),""))</f>
        <v>MIAOQUN WU</v>
      </c>
      <c r="N489" t="s">
        <v>1705</v>
      </c>
      <c r="Q489" t="s">
        <v>79</v>
      </c>
      <c r="R489" t="s">
        <v>1707</v>
      </c>
    </row>
    <row r="490" spans="2:18" hidden="1" x14ac:dyDescent="0.25">
      <c r="B490" t="s">
        <v>60</v>
      </c>
      <c r="C490" t="s">
        <v>66</v>
      </c>
      <c r="I490">
        <v>4235.8</v>
      </c>
      <c r="J490" s="10">
        <v>45209</v>
      </c>
      <c r="K490" t="s">
        <v>100</v>
      </c>
      <c r="L490" s="16" t="s">
        <v>1708</v>
      </c>
      <c r="M490" s="7" t="str">
        <f>IF(K490="收_客户",INDEX(客户信息维护!C:C,MATCH(银行日记账登记!L490,客户信息维护!B:B,0)),IF(K490="支_供应商",INDEX(供应商信息维护!C:C,MATCH(银行日记账登记!L490,供应商信息维护!B:B,0)),""))</f>
        <v>DRAGON CALENDAR LDA 刘正武</v>
      </c>
      <c r="N490" t="s">
        <v>1710</v>
      </c>
      <c r="P490" t="s">
        <v>303</v>
      </c>
      <c r="Q490" t="s">
        <v>79</v>
      </c>
      <c r="R490" t="s">
        <v>1723</v>
      </c>
    </row>
    <row r="491" spans="2:18" hidden="1" x14ac:dyDescent="0.25">
      <c r="B491" t="s">
        <v>60</v>
      </c>
      <c r="C491" t="s">
        <v>66</v>
      </c>
      <c r="I491">
        <v>5904.27</v>
      </c>
      <c r="J491" s="10">
        <v>45209</v>
      </c>
      <c r="K491" t="s">
        <v>100</v>
      </c>
      <c r="L491" s="16" t="s">
        <v>1711</v>
      </c>
      <c r="M491" s="7" t="str">
        <f>IF(K491="收_客户",INDEX(客户信息维护!C:C,MATCH(银行日记账登记!L491,客户信息维护!B:B,0)),IF(K491="支_供应商",INDEX(供应商信息维护!C:C,MATCH(银行日记账登记!L491,供应商信息维护!B:B,0)),""))</f>
        <v>LIANG WANG, UNIPESSOAL LDA</v>
      </c>
      <c r="N491" t="s">
        <v>1713</v>
      </c>
      <c r="P491" t="s">
        <v>303</v>
      </c>
      <c r="Q491" t="s">
        <v>79</v>
      </c>
      <c r="R491" t="s">
        <v>1724</v>
      </c>
    </row>
    <row r="492" spans="2:18" hidden="1" x14ac:dyDescent="0.25">
      <c r="B492" t="s">
        <v>60</v>
      </c>
      <c r="C492" t="s">
        <v>66</v>
      </c>
      <c r="I492">
        <v>1088.68</v>
      </c>
      <c r="J492" s="10">
        <v>45209</v>
      </c>
      <c r="K492" t="s">
        <v>100</v>
      </c>
      <c r="L492" s="16" t="s">
        <v>1714</v>
      </c>
      <c r="M492" s="7" t="str">
        <f>IF(K492="收_客户",INDEX(客户信息维护!C:C,MATCH(银行日记账登记!L492,客户信息维护!B:B,0)),IF(K492="支_供应商",INDEX(供应商信息维护!C:C,MATCH(银行日记账登记!L492,供应商信息维护!B:B,0)),""))</f>
        <v>TULIPA SURPRESA UNIPESSOAL LDA 尹海三</v>
      </c>
      <c r="N492" t="s">
        <v>1716</v>
      </c>
      <c r="P492" t="s">
        <v>303</v>
      </c>
      <c r="Q492" t="s">
        <v>79</v>
      </c>
      <c r="R492" t="s">
        <v>1725</v>
      </c>
    </row>
    <row r="493" spans="2:18" hidden="1" x14ac:dyDescent="0.25">
      <c r="B493" t="s">
        <v>60</v>
      </c>
      <c r="C493" t="s">
        <v>66</v>
      </c>
      <c r="I493">
        <v>2900.22</v>
      </c>
      <c r="J493" s="10">
        <v>45209</v>
      </c>
      <c r="K493" t="s">
        <v>100</v>
      </c>
      <c r="L493" s="16" t="s">
        <v>1176</v>
      </c>
      <c r="M493" s="7" t="str">
        <f>IF(K493="收_客户",INDEX(客户信息维护!C:C,MATCH(银行日记账登记!L493,客户信息维护!B:B,0)),IF(K493="支_供应商",INDEX(供应商信息维护!C:C,MATCH(银行日记账登记!L493,供应商信息维护!B:B,0)),""))</f>
        <v>HANHAN LDA 季恩云</v>
      </c>
      <c r="N493" t="s">
        <v>1717</v>
      </c>
      <c r="P493" t="s">
        <v>303</v>
      </c>
      <c r="Q493" t="s">
        <v>79</v>
      </c>
      <c r="R493" t="s">
        <v>1726</v>
      </c>
    </row>
    <row r="494" spans="2:18" hidden="1" x14ac:dyDescent="0.25">
      <c r="B494" t="s">
        <v>60</v>
      </c>
      <c r="C494" t="s">
        <v>66</v>
      </c>
      <c r="I494">
        <v>3074.97</v>
      </c>
      <c r="J494" s="10">
        <v>45209</v>
      </c>
      <c r="K494" t="s">
        <v>100</v>
      </c>
      <c r="L494" s="16" t="s">
        <v>463</v>
      </c>
      <c r="M494" s="7" t="str">
        <f>IF(K494="收_客户",INDEX(客户信息维护!C:C,MATCH(银行日记账登记!L494,客户信息维护!B:B,0)),IF(K494="支_供应商",INDEX(供应商信息维护!C:C,MATCH(银行日记账登记!L494,供应商信息维护!B:B,0)),""))</f>
        <v>SUCCESSAGENDA LDA 郭正</v>
      </c>
      <c r="N494" t="s">
        <v>1718</v>
      </c>
      <c r="P494" t="s">
        <v>303</v>
      </c>
      <c r="Q494" t="s">
        <v>79</v>
      </c>
      <c r="R494" t="s">
        <v>1727</v>
      </c>
    </row>
    <row r="495" spans="2:18" hidden="1" x14ac:dyDescent="0.25">
      <c r="B495" t="s">
        <v>60</v>
      </c>
      <c r="C495" t="s">
        <v>66</v>
      </c>
      <c r="I495">
        <v>2620.86</v>
      </c>
      <c r="J495" s="10">
        <v>45209</v>
      </c>
      <c r="K495" t="s">
        <v>100</v>
      </c>
      <c r="L495" s="16" t="s">
        <v>463</v>
      </c>
      <c r="M495" s="7" t="str">
        <f>IF(K495="收_客户",INDEX(客户信息维护!C:C,MATCH(银行日记账登记!L495,客户信息维护!B:B,0)),IF(K495="支_供应商",INDEX(供应商信息维护!C:C,MATCH(银行日记账登记!L495,供应商信息维护!B:B,0)),""))</f>
        <v>SUCCESSAGENDA LDA 郭正</v>
      </c>
      <c r="N495" t="s">
        <v>1719</v>
      </c>
      <c r="P495" t="s">
        <v>303</v>
      </c>
      <c r="Q495" t="s">
        <v>79</v>
      </c>
      <c r="R495" t="s">
        <v>1728</v>
      </c>
    </row>
    <row r="496" spans="2:18" hidden="1" x14ac:dyDescent="0.25">
      <c r="B496" t="s">
        <v>60</v>
      </c>
      <c r="C496" t="s">
        <v>66</v>
      </c>
      <c r="I496">
        <v>1932.99</v>
      </c>
      <c r="J496" s="10">
        <v>45209</v>
      </c>
      <c r="K496" t="s">
        <v>100</v>
      </c>
      <c r="L496" s="16" t="s">
        <v>1720</v>
      </c>
      <c r="M496" s="7" t="str">
        <f>IF(K496="收_客户",INDEX(客户信息维护!C:C,MATCH(银行日记账登记!L496,客户信息维护!B:B,0)),IF(K496="支_供应商",INDEX(供应商信息维护!C:C,MATCH(银行日记账登记!L496,供应商信息维护!B:B,0)),""))</f>
        <v>DYNAMIC KANGAROO LDA 陈开来</v>
      </c>
      <c r="N496" t="s">
        <v>1722</v>
      </c>
      <c r="P496" t="s">
        <v>303</v>
      </c>
      <c r="Q496" t="s">
        <v>79</v>
      </c>
      <c r="R496" t="s">
        <v>1729</v>
      </c>
    </row>
    <row r="497" spans="2:18" hidden="1" x14ac:dyDescent="0.25">
      <c r="B497" t="s">
        <v>56</v>
      </c>
      <c r="C497" t="s">
        <v>127</v>
      </c>
      <c r="I497">
        <v>2390.5700000000002</v>
      </c>
      <c r="J497" s="10">
        <v>45209</v>
      </c>
      <c r="K497" t="s">
        <v>100</v>
      </c>
      <c r="L497" s="1" t="s">
        <v>1730</v>
      </c>
      <c r="M497" s="7" t="str">
        <f>IF(K497="收_客户",INDEX(客户信息维护!C:C,MATCH(银行日记账登记!L497,客户信息维护!B:B,0)),IF(K497="支_供应商",INDEX(供应商信息维护!C:C,MATCH(银行日记账登记!L497,供应商信息维护!B:B,0)),""))</f>
        <v>LEAF &amp; HOUSE S.L</v>
      </c>
      <c r="N497" t="s">
        <v>1732</v>
      </c>
      <c r="Q497" t="s">
        <v>79</v>
      </c>
      <c r="R497" t="s">
        <v>1733</v>
      </c>
    </row>
    <row r="498" spans="2:18" hidden="1" x14ac:dyDescent="0.25">
      <c r="B498" t="s">
        <v>56</v>
      </c>
      <c r="C498" t="s">
        <v>63</v>
      </c>
      <c r="I498">
        <v>402.39</v>
      </c>
      <c r="J498" s="10">
        <v>45209</v>
      </c>
      <c r="K498" t="s">
        <v>100</v>
      </c>
      <c r="L498" s="1" t="s">
        <v>723</v>
      </c>
      <c r="M498" s="7" t="str">
        <f>IF(K498="收_客户",INDEX(客户信息维护!C:C,MATCH(银行日记账登记!L498,客户信息维护!B:B,0)),IF(K498="支_供应商",INDEX(供应商信息维护!C:C,MATCH(银行日记账登记!L498,供应商信息维护!B:B,0)),""))</f>
        <v>XINQIANG ZHU</v>
      </c>
      <c r="N498" t="s">
        <v>1734</v>
      </c>
      <c r="Q498" t="s">
        <v>79</v>
      </c>
      <c r="R498" t="s">
        <v>1735</v>
      </c>
    </row>
    <row r="499" spans="2:18" hidden="1" x14ac:dyDescent="0.25">
      <c r="B499" t="s">
        <v>56</v>
      </c>
      <c r="C499" t="s">
        <v>127</v>
      </c>
      <c r="I499">
        <v>806.3</v>
      </c>
      <c r="J499" s="10">
        <v>45210</v>
      </c>
      <c r="K499" t="s">
        <v>100</v>
      </c>
      <c r="L499" s="1" t="s">
        <v>740</v>
      </c>
      <c r="M499" s="7" t="str">
        <f>IF(K499="收_客户",INDEX(客户信息维护!C:C,MATCH(银行日记账登记!L499,客户信息维护!B:B,0)),IF(K499="支_供应商",INDEX(供应商信息维护!C:C,MATCH(银行日记账登记!L499,供应商信息维护!B:B,0)),""))</f>
        <v>NOU MAXI SARRIA DE TER S.L.</v>
      </c>
      <c r="N499" t="s">
        <v>1736</v>
      </c>
      <c r="Q499" t="s">
        <v>79</v>
      </c>
      <c r="R499" t="s">
        <v>1742</v>
      </c>
    </row>
    <row r="500" spans="2:18" hidden="1" x14ac:dyDescent="0.25">
      <c r="B500" t="s">
        <v>56</v>
      </c>
      <c r="C500" t="s">
        <v>127</v>
      </c>
      <c r="I500">
        <v>555.76</v>
      </c>
      <c r="J500" s="10">
        <v>45211</v>
      </c>
      <c r="K500" t="s">
        <v>100</v>
      </c>
      <c r="L500" s="1" t="s">
        <v>801</v>
      </c>
      <c r="M500" s="7" t="str">
        <f>IF(K500="收_客户",INDEX(客户信息维护!C:C,MATCH(银行日记账登记!L500,客户信息维护!B:B,0)),IF(K500="支_供应商",INDEX(供应商信息维护!C:C,MATCH(银行日记账登记!L500,供应商信息维护!B:B,0)),""))</f>
        <v>SENWEI WU</v>
      </c>
      <c r="N500" t="s">
        <v>1737</v>
      </c>
      <c r="Q500" t="s">
        <v>79</v>
      </c>
      <c r="R500" t="s">
        <v>1743</v>
      </c>
    </row>
    <row r="501" spans="2:18" hidden="1" x14ac:dyDescent="0.25">
      <c r="B501" t="s">
        <v>56</v>
      </c>
      <c r="C501" t="s">
        <v>127</v>
      </c>
      <c r="I501">
        <v>308.25</v>
      </c>
      <c r="J501" s="10">
        <v>45211</v>
      </c>
      <c r="K501" t="s">
        <v>100</v>
      </c>
      <c r="L501" s="1" t="s">
        <v>1674</v>
      </c>
      <c r="M501" s="7" t="str">
        <f>IF(K501="收_客户",INDEX(客户信息维护!C:C,MATCH(银行日记账登记!L501,客户信息维护!B:B,0)),IF(K501="支_供应商",INDEX(供应商信息维护!C:C,MATCH(银行日记账登记!L501,供应商信息维护!B:B,0)),""))</f>
        <v>XIAOLAN HE</v>
      </c>
      <c r="N501" t="s">
        <v>1738</v>
      </c>
      <c r="Q501" t="s">
        <v>79</v>
      </c>
      <c r="R501" t="s">
        <v>1744</v>
      </c>
    </row>
    <row r="502" spans="2:18" hidden="1" x14ac:dyDescent="0.25">
      <c r="B502" t="s">
        <v>56</v>
      </c>
      <c r="C502" t="s">
        <v>127</v>
      </c>
      <c r="I502">
        <v>415.38</v>
      </c>
      <c r="J502" s="10">
        <v>45211</v>
      </c>
      <c r="K502" t="s">
        <v>100</v>
      </c>
      <c r="L502" s="1" t="s">
        <v>738</v>
      </c>
      <c r="M502" s="7" t="str">
        <f>IF(K502="收_客户",INDEX(客户信息维护!C:C,MATCH(银行日记账登记!L502,客户信息维护!B:B,0)),IF(K502="支_供应商",INDEX(供应商信息维护!C:C,MATCH(银行日记账登记!L502,供应商信息维护!B:B,0)),""))</f>
        <v>SUPERMERCADO FORTUNA 2016 S.L</v>
      </c>
      <c r="N502" t="s">
        <v>1739</v>
      </c>
      <c r="Q502" t="s">
        <v>79</v>
      </c>
      <c r="R502" t="s">
        <v>1745</v>
      </c>
    </row>
    <row r="503" spans="2:18" hidden="1" x14ac:dyDescent="0.25">
      <c r="B503" t="s">
        <v>56</v>
      </c>
      <c r="C503" t="s">
        <v>127</v>
      </c>
      <c r="I503">
        <v>551.20000000000005</v>
      </c>
      <c r="J503" s="10">
        <v>45212</v>
      </c>
      <c r="K503" t="s">
        <v>100</v>
      </c>
      <c r="L503" s="1" t="s">
        <v>1740</v>
      </c>
      <c r="M503" s="7" t="str">
        <f>IF(K503="收_客户",INDEX(客户信息维护!C:C,MATCH(银行日记账登记!L503,客户信息维护!B:B,0)),IF(K503="支_供应商",INDEX(供应商信息维护!C:C,MATCH(银行日记账登记!L503,供应商信息维护!B:B,0)),""))</f>
        <v>COUSINESHOP 2019 S.L</v>
      </c>
      <c r="N503" t="s">
        <v>1741</v>
      </c>
      <c r="Q503" t="s">
        <v>79</v>
      </c>
      <c r="R503" t="s">
        <v>1746</v>
      </c>
    </row>
    <row r="504" spans="2:18" hidden="1" x14ac:dyDescent="0.25">
      <c r="B504" t="s">
        <v>56</v>
      </c>
      <c r="C504" t="s">
        <v>63</v>
      </c>
      <c r="I504">
        <v>437.8</v>
      </c>
      <c r="J504" s="10">
        <v>45210</v>
      </c>
      <c r="K504" t="s">
        <v>100</v>
      </c>
      <c r="L504" s="1" t="s">
        <v>411</v>
      </c>
      <c r="M504" s="7" t="str">
        <f>IF(K504="收_客户",INDEX(客户信息维护!C:C,MATCH(银行日记账登记!L504,客户信息维护!B:B,0)),IF(K504="支_供应商",INDEX(供应商信息维护!C:C,MATCH(银行日记账登记!L504,供应商信息维护!B:B,0)),""))</f>
        <v>LINGWEI ZHANG</v>
      </c>
      <c r="N504" t="s">
        <v>1747</v>
      </c>
      <c r="Q504" t="s">
        <v>79</v>
      </c>
      <c r="R504" t="s">
        <v>1752</v>
      </c>
    </row>
    <row r="505" spans="2:18" hidden="1" x14ac:dyDescent="0.25">
      <c r="B505" t="s">
        <v>56</v>
      </c>
      <c r="C505" t="s">
        <v>63</v>
      </c>
      <c r="I505">
        <v>1821.69</v>
      </c>
      <c r="J505" s="10">
        <v>45212</v>
      </c>
      <c r="K505" t="s">
        <v>100</v>
      </c>
      <c r="L505" s="1" t="s">
        <v>1748</v>
      </c>
      <c r="M505" s="7" t="str">
        <f>IF(K505="收_客户",INDEX(客户信息维护!C:C,MATCH(银行日记账登记!L505,客户信息维护!B:B,0)),IF(K505="支_供应商",INDEX(供应商信息维护!C:C,MATCH(银行日记账登记!L505,供应商信息维护!B:B,0)),""))</f>
        <v>HIPER POZUELO S.L</v>
      </c>
      <c r="N505" t="s">
        <v>1750</v>
      </c>
      <c r="P505" t="s">
        <v>303</v>
      </c>
      <c r="Q505" t="s">
        <v>79</v>
      </c>
      <c r="R505" t="s">
        <v>1753</v>
      </c>
    </row>
    <row r="506" spans="2:18" hidden="1" x14ac:dyDescent="0.25">
      <c r="B506" t="s">
        <v>56</v>
      </c>
      <c r="C506" t="s">
        <v>63</v>
      </c>
      <c r="I506">
        <v>713.28</v>
      </c>
      <c r="J506" s="10">
        <v>45212</v>
      </c>
      <c r="K506" t="s">
        <v>100</v>
      </c>
      <c r="L506" s="1" t="s">
        <v>1215</v>
      </c>
      <c r="M506" s="7" t="str">
        <f>IF(K506="收_客户",INDEX(客户信息维护!C:C,MATCH(银行日记账登记!L506,客户信息维护!B:B,0)),IF(K506="支_供应商",INDEX(供应商信息维护!C:C,MATCH(银行日记账登记!L506,供应商信息维护!B:B,0)),""))</f>
        <v>CHOLLOS EL BARATO S.L</v>
      </c>
      <c r="N506" t="s">
        <v>1751</v>
      </c>
      <c r="P506" t="s">
        <v>303</v>
      </c>
      <c r="Q506" t="s">
        <v>79</v>
      </c>
      <c r="R506" t="s">
        <v>1754</v>
      </c>
    </row>
    <row r="507" spans="2:18" hidden="1" x14ac:dyDescent="0.25">
      <c r="B507" t="s">
        <v>60</v>
      </c>
      <c r="C507" t="s">
        <v>66</v>
      </c>
      <c r="I507">
        <v>887.6</v>
      </c>
      <c r="J507" s="10">
        <v>45211</v>
      </c>
      <c r="K507" t="s">
        <v>100</v>
      </c>
      <c r="L507" s="16" t="s">
        <v>190</v>
      </c>
      <c r="M507" s="7" t="str">
        <f>IF(K507="收_客户",INDEX(客户信息维护!C:C,MATCH(银行日记账登记!L507,客户信息维护!B:B,0)),IF(K507="支_供应商",INDEX(供应商信息维护!C:C,MATCH(银行日记账登记!L507,供应商信息维护!B:B,0)),""))</f>
        <v>TREVO SOBERANO LDA</v>
      </c>
      <c r="N507" t="s">
        <v>1755</v>
      </c>
      <c r="Q507" t="s">
        <v>79</v>
      </c>
      <c r="R507" t="s">
        <v>1758</v>
      </c>
    </row>
    <row r="508" spans="2:18" hidden="1" x14ac:dyDescent="0.25">
      <c r="B508" t="s">
        <v>60</v>
      </c>
      <c r="C508" t="s">
        <v>66</v>
      </c>
      <c r="I508">
        <v>219.02</v>
      </c>
      <c r="J508" s="10">
        <v>45211</v>
      </c>
      <c r="K508" t="s">
        <v>100</v>
      </c>
      <c r="L508" s="16" t="s">
        <v>423</v>
      </c>
      <c r="M508" s="7" t="str">
        <f>IF(K508="收_客户",INDEX(客户信息维护!C:C,MATCH(银行日记账登记!L508,客户信息维护!B:B,0)),IF(K508="支_供应商",INDEX(供应商信息维护!C:C,MATCH(银行日记账登记!L508,供应商信息维护!B:B,0)),""))</f>
        <v>JINWEI ZHANG</v>
      </c>
      <c r="N508" t="s">
        <v>1756</v>
      </c>
      <c r="Q508" t="s">
        <v>79</v>
      </c>
      <c r="R508" t="s">
        <v>1759</v>
      </c>
    </row>
    <row r="509" spans="2:18" hidden="1" x14ac:dyDescent="0.25">
      <c r="B509" t="s">
        <v>60</v>
      </c>
      <c r="C509" t="s">
        <v>66</v>
      </c>
      <c r="I509">
        <v>1720.16</v>
      </c>
      <c r="J509" s="10">
        <v>45212</v>
      </c>
      <c r="K509" t="s">
        <v>100</v>
      </c>
      <c r="L509" s="16" t="s">
        <v>904</v>
      </c>
      <c r="M509" s="7" t="str">
        <f>IF(K509="收_客户",INDEX(客户信息维护!C:C,MATCH(银行日记账登记!L509,客户信息维护!B:B,0)),IF(K509="支_供应商",INDEX(供应商信息维护!C:C,MATCH(银行日记账登记!L509,供应商信息维护!B:B,0)),""))</f>
        <v>IMPORTANCIA SIMPATICA UNIPESSOAL LDA 刘荣女儿店</v>
      </c>
      <c r="N509" t="s">
        <v>1757</v>
      </c>
      <c r="Q509" t="s">
        <v>79</v>
      </c>
      <c r="R509" t="s">
        <v>1760</v>
      </c>
    </row>
    <row r="510" spans="2:18" hidden="1" x14ac:dyDescent="0.25">
      <c r="B510" t="s">
        <v>60</v>
      </c>
      <c r="C510" t="s">
        <v>350</v>
      </c>
      <c r="I510">
        <v>1030.6500000000001</v>
      </c>
      <c r="J510" s="10">
        <v>45211</v>
      </c>
      <c r="K510" t="s">
        <v>100</v>
      </c>
      <c r="L510" s="16" t="s">
        <v>194</v>
      </c>
      <c r="M510" s="7" t="str">
        <f>IF(K510="收_客户",INDEX(客户信息维护!C:C,MATCH(银行日记账登记!L510,客户信息维护!B:B,0)),IF(K510="支_供应商",INDEX(供应商信息维护!C:C,MATCH(银行日记账登记!L510,供应商信息维护!B:B,0)),""))</f>
        <v>AURORA CELESTIAL UNIPESSOAL LDA 徐正益</v>
      </c>
      <c r="N510" t="s">
        <v>1761</v>
      </c>
      <c r="Q510" t="s">
        <v>79</v>
      </c>
      <c r="R510" t="s">
        <v>1762</v>
      </c>
    </row>
    <row r="511" spans="2:18" hidden="1" x14ac:dyDescent="0.25">
      <c r="B511" t="s">
        <v>56</v>
      </c>
      <c r="C511" t="s">
        <v>63</v>
      </c>
      <c r="I511">
        <v>385.15</v>
      </c>
      <c r="J511" s="10">
        <v>45215</v>
      </c>
      <c r="K511" t="s">
        <v>100</v>
      </c>
      <c r="L511" s="1" t="s">
        <v>862</v>
      </c>
      <c r="M511" s="7" t="str">
        <f>IF(K511="收_客户",INDEX(客户信息维护!C:C,MATCH(银行日记账登记!L511,客户信息维护!B:B,0)),IF(K511="支_供应商",INDEX(供应商信息维护!C:C,MATCH(银行日记账登记!L511,供应商信息维护!B:B,0)),""))</f>
        <v>CHAOQUN DU</v>
      </c>
      <c r="N511" t="s">
        <v>1763</v>
      </c>
      <c r="Q511" t="s">
        <v>79</v>
      </c>
      <c r="R511" t="s">
        <v>1767</v>
      </c>
    </row>
    <row r="512" spans="2:18" hidden="1" x14ac:dyDescent="0.25">
      <c r="B512" t="s">
        <v>56</v>
      </c>
      <c r="C512" t="s">
        <v>63</v>
      </c>
      <c r="I512">
        <v>611.03</v>
      </c>
      <c r="J512" s="10">
        <v>45215</v>
      </c>
      <c r="K512" t="s">
        <v>100</v>
      </c>
      <c r="L512" s="1" t="s">
        <v>1764</v>
      </c>
      <c r="M512" s="7" t="str">
        <f>IF(K512="收_客户",INDEX(客户信息维护!C:C,MATCH(银行日记账登记!L512,客户信息维护!B:B,0)),IF(K512="支_供应商",INDEX(供应商信息维护!C:C,MATCH(银行日记账登记!L512,供应商信息维护!B:B,0)),""))</f>
        <v>WAN SHI LI S.L</v>
      </c>
      <c r="N512" t="s">
        <v>1766</v>
      </c>
      <c r="Q512" t="s">
        <v>79</v>
      </c>
      <c r="R512" t="s">
        <v>1768</v>
      </c>
    </row>
    <row r="513" spans="2:18" hidden="1" x14ac:dyDescent="0.25">
      <c r="B513" t="s">
        <v>56</v>
      </c>
      <c r="C513" t="s">
        <v>127</v>
      </c>
      <c r="I513">
        <v>1078</v>
      </c>
      <c r="J513" s="10">
        <v>45215</v>
      </c>
      <c r="K513" t="s">
        <v>100</v>
      </c>
      <c r="L513" s="1" t="s">
        <v>549</v>
      </c>
      <c r="M513" s="7" t="str">
        <f>IF(K513="收_客户",INDEX(客户信息维护!C:C,MATCH(银行日记账登记!L513,客户信息维护!B:B,0)),IF(K513="支_供应商",INDEX(供应商信息维护!C:C,MATCH(银行日记账登记!L513,供应商信息维护!B:B,0)),""))</f>
        <v>MI BAZAR S.L 王晓雪</v>
      </c>
      <c r="N513" t="s">
        <v>1769</v>
      </c>
      <c r="Q513" t="s">
        <v>79</v>
      </c>
      <c r="R513" t="s">
        <v>1776</v>
      </c>
    </row>
    <row r="514" spans="2:18" hidden="1" x14ac:dyDescent="0.25">
      <c r="B514" t="s">
        <v>56</v>
      </c>
      <c r="C514" t="s">
        <v>127</v>
      </c>
      <c r="I514">
        <v>4896.59</v>
      </c>
      <c r="J514" s="10">
        <v>45215</v>
      </c>
      <c r="K514" t="s">
        <v>100</v>
      </c>
      <c r="L514" s="1" t="s">
        <v>159</v>
      </c>
      <c r="M514" s="7" t="str">
        <f>IF(K514="收_客户",INDEX(客户信息维护!C:C,MATCH(银行日记账登记!L514,客户信息维护!B:B,0)),IF(K514="支_供应商",INDEX(供应商信息维护!C:C,MATCH(银行日记账登记!L514,供应商信息维护!B:B,0)),""))</f>
        <v>WE PHONE 2016 S.L 威锋电子</v>
      </c>
      <c r="N514" t="s">
        <v>1770</v>
      </c>
      <c r="Q514" t="s">
        <v>79</v>
      </c>
      <c r="R514" t="s">
        <v>1777</v>
      </c>
    </row>
    <row r="515" spans="2:18" hidden="1" x14ac:dyDescent="0.25">
      <c r="B515" t="s">
        <v>56</v>
      </c>
      <c r="C515" t="s">
        <v>127</v>
      </c>
      <c r="I515">
        <v>2941.75</v>
      </c>
      <c r="J515" s="10">
        <v>45215</v>
      </c>
      <c r="K515" t="s">
        <v>100</v>
      </c>
      <c r="L515" s="1" t="s">
        <v>1771</v>
      </c>
      <c r="M515" s="7" t="str">
        <f>IF(K515="收_客户",INDEX(客户信息维护!C:C,MATCH(银行日记账登记!L515,客户信息维护!B:B,0)),IF(K515="支_供应商",INDEX(供应商信息维护!C:C,MATCH(银行日记账登记!L515,供应商信息维护!B:B,0)),""))</f>
        <v>2018 MINDEST S.L</v>
      </c>
      <c r="N515" t="s">
        <v>1773</v>
      </c>
      <c r="Q515" t="s">
        <v>79</v>
      </c>
      <c r="R515" t="s">
        <v>1778</v>
      </c>
    </row>
    <row r="516" spans="2:18" hidden="1" x14ac:dyDescent="0.25">
      <c r="B516" t="s">
        <v>56</v>
      </c>
      <c r="C516" t="s">
        <v>127</v>
      </c>
      <c r="I516">
        <v>657.72</v>
      </c>
      <c r="J516" s="10">
        <v>45215</v>
      </c>
      <c r="K516" t="s">
        <v>100</v>
      </c>
      <c r="L516" s="1" t="s">
        <v>380</v>
      </c>
      <c r="M516" s="7" t="str">
        <f>IF(K516="收_客户",INDEX(客户信息维护!C:C,MATCH(银行日记账登记!L516,客户信息维护!B:B,0)),IF(K516="支_供应商",INDEX(供应商信息维护!C:C,MATCH(银行日记账登记!L516,供应商信息维护!B:B,0)),""))</f>
        <v>JIEZHONG XU</v>
      </c>
      <c r="N516" t="s">
        <v>1774</v>
      </c>
      <c r="Q516" t="s">
        <v>79</v>
      </c>
      <c r="R516" t="s">
        <v>1779</v>
      </c>
    </row>
    <row r="517" spans="2:18" hidden="1" x14ac:dyDescent="0.25">
      <c r="B517" t="s">
        <v>56</v>
      </c>
      <c r="C517" t="s">
        <v>127</v>
      </c>
      <c r="I517">
        <v>591.9</v>
      </c>
      <c r="J517" s="10">
        <v>45215</v>
      </c>
      <c r="K517" t="s">
        <v>100</v>
      </c>
      <c r="L517" s="1" t="s">
        <v>310</v>
      </c>
      <c r="M517" s="7" t="str">
        <f>IF(K517="收_客户",INDEX(客户信息维护!C:C,MATCH(银行日记账登记!L517,客户信息维护!B:B,0)),IF(K517="支_供应商",INDEX(供应商信息维护!C:C,MATCH(银行日记账登记!L517,供应商信息维护!B:B,0)),""))</f>
        <v>NHAFKRA 050 S.L</v>
      </c>
      <c r="N517" t="s">
        <v>1775</v>
      </c>
      <c r="Q517" t="s">
        <v>79</v>
      </c>
      <c r="R517" t="s">
        <v>1780</v>
      </c>
    </row>
    <row r="518" spans="2:18" hidden="1" x14ac:dyDescent="0.25">
      <c r="B518" t="s">
        <v>56</v>
      </c>
      <c r="C518" t="s">
        <v>127</v>
      </c>
      <c r="I518">
        <v>1506</v>
      </c>
      <c r="J518" s="10">
        <v>45216</v>
      </c>
      <c r="K518" t="s">
        <v>100</v>
      </c>
      <c r="L518" s="1" t="s">
        <v>479</v>
      </c>
      <c r="M518" s="7" t="str">
        <f>IF(K518="收_客户",INDEX(客户信息维护!C:C,MATCH(银行日记账登记!L518,客户信息维护!B:B,0)),IF(K518="支_供应商",INDEX(供应商信息维护!C:C,MATCH(银行日记账登记!L518,供应商信息维护!B:B,0)),""))</f>
        <v>COUSINESHOP 2019 S.L</v>
      </c>
      <c r="N518" t="s">
        <v>1781</v>
      </c>
      <c r="Q518" t="s">
        <v>79</v>
      </c>
      <c r="R518" t="s">
        <v>1783</v>
      </c>
    </row>
    <row r="519" spans="2:18" hidden="1" x14ac:dyDescent="0.25">
      <c r="B519" t="s">
        <v>56</v>
      </c>
      <c r="C519" t="s">
        <v>127</v>
      </c>
      <c r="I519">
        <v>1065.01</v>
      </c>
      <c r="J519" s="10">
        <v>45216</v>
      </c>
      <c r="K519" t="s">
        <v>100</v>
      </c>
      <c r="L519" s="1" t="s">
        <v>607</v>
      </c>
      <c r="M519" s="7" t="str">
        <f>IF(K519="收_客户",INDEX(客户信息维护!C:C,MATCH(银行日记账登记!L519,客户信息维护!B:B,0)),IF(K519="支_供应商",INDEX(供应商信息维护!C:C,MATCH(银行日记账登记!L519,供应商信息维护!B:B,0)),""))</f>
        <v>PROPICIO 168 S.L</v>
      </c>
      <c r="N519" t="s">
        <v>1782</v>
      </c>
      <c r="Q519" t="s">
        <v>79</v>
      </c>
      <c r="R519" t="s">
        <v>1784</v>
      </c>
    </row>
    <row r="520" spans="2:18" hidden="1" x14ac:dyDescent="0.25">
      <c r="B520" t="s">
        <v>56</v>
      </c>
      <c r="C520" t="s">
        <v>63</v>
      </c>
      <c r="I520">
        <v>1270.8</v>
      </c>
      <c r="J520" s="10">
        <v>45215</v>
      </c>
      <c r="K520" t="s">
        <v>100</v>
      </c>
      <c r="L520" s="1" t="s">
        <v>1785</v>
      </c>
      <c r="M520" s="7" t="str">
        <f>IF(K520="收_客户",INDEX(客户信息维护!C:C,MATCH(银行日记账登记!L520,客户信息维护!B:B,0)),IF(K520="支_供应商",INDEX(供应商信息维护!C:C,MATCH(银行日记账登记!L520,供应商信息维护!B:B,0)),""))</f>
        <v>ZHONGZHONG2022 S.L</v>
      </c>
      <c r="N520" t="s">
        <v>1787</v>
      </c>
      <c r="P520" t="s">
        <v>303</v>
      </c>
      <c r="Q520" t="s">
        <v>79</v>
      </c>
      <c r="R520" t="s">
        <v>1793</v>
      </c>
    </row>
    <row r="521" spans="2:18" hidden="1" x14ac:dyDescent="0.25">
      <c r="B521" t="s">
        <v>56</v>
      </c>
      <c r="C521" t="s">
        <v>63</v>
      </c>
      <c r="I521">
        <v>860.15</v>
      </c>
      <c r="J521" s="10">
        <v>45215</v>
      </c>
      <c r="K521" t="s">
        <v>100</v>
      </c>
      <c r="L521" s="1" t="s">
        <v>454</v>
      </c>
      <c r="M521" s="7" t="str">
        <f>IF(K521="收_客户",INDEX(客户信息维护!C:C,MATCH(银行日记账登记!L521,客户信息维护!B:B,0)),IF(K521="支_供应商",INDEX(供应商信息维护!C:C,MATCH(银行日记账登记!L521,供应商信息维护!B:B,0)),""))</f>
        <v>MERCA VALL 2022 S.L.</v>
      </c>
      <c r="N521" t="s">
        <v>1788</v>
      </c>
      <c r="Q521" t="s">
        <v>79</v>
      </c>
      <c r="R521" t="s">
        <v>1794</v>
      </c>
    </row>
    <row r="522" spans="2:18" hidden="1" x14ac:dyDescent="0.25">
      <c r="B522" t="s">
        <v>56</v>
      </c>
      <c r="C522" t="s">
        <v>63</v>
      </c>
      <c r="I522">
        <v>1034.95</v>
      </c>
      <c r="J522" s="10">
        <v>45216</v>
      </c>
      <c r="K522" t="s">
        <v>100</v>
      </c>
      <c r="L522" s="1" t="s">
        <v>1789</v>
      </c>
      <c r="M522" s="7" t="str">
        <f>IF(K522="收_客户",INDEX(客户信息维护!C:C,MATCH(银行日记账登记!L522,客户信息维护!B:B,0)),IF(K522="支_供应商",INDEX(供应商信息维护!C:C,MATCH(银行日记账登记!L522,供应商信息维护!B:B,0)),""))</f>
        <v>HIPER BASAR 2021 S.L</v>
      </c>
      <c r="N522" t="s">
        <v>1790</v>
      </c>
      <c r="Q522" t="s">
        <v>79</v>
      </c>
      <c r="R522" t="s">
        <v>1795</v>
      </c>
    </row>
    <row r="523" spans="2:18" hidden="1" x14ac:dyDescent="0.25">
      <c r="B523" t="s">
        <v>56</v>
      </c>
      <c r="C523" t="s">
        <v>63</v>
      </c>
      <c r="I523">
        <v>7000</v>
      </c>
      <c r="J523" s="10">
        <v>45216</v>
      </c>
      <c r="K523" t="s">
        <v>100</v>
      </c>
      <c r="L523" s="1" t="s">
        <v>662</v>
      </c>
      <c r="M523" s="7" t="str">
        <f>IF(K523="收_客户",INDEX(客户信息维护!C:C,MATCH(银行日记账登记!L523,客户信息维护!B:B,0)),IF(K523="支_供应商",INDEX(供应商信息维护!C:C,MATCH(银行日记账登记!L523,供应商信息维护!B:B,0)),""))</f>
        <v>STOCK IN SPAIN ELECTRONICS S.L 步步高</v>
      </c>
      <c r="N523" t="s">
        <v>1792</v>
      </c>
      <c r="P523" t="s">
        <v>303</v>
      </c>
      <c r="Q523" t="s">
        <v>79</v>
      </c>
      <c r="R523" t="s">
        <v>1796</v>
      </c>
    </row>
    <row r="524" spans="2:18" hidden="1" x14ac:dyDescent="0.25">
      <c r="B524" t="s">
        <v>56</v>
      </c>
      <c r="C524" t="s">
        <v>127</v>
      </c>
      <c r="I524">
        <v>273.02</v>
      </c>
      <c r="J524" s="10">
        <v>45216</v>
      </c>
      <c r="K524" t="s">
        <v>100</v>
      </c>
      <c r="L524" s="1" t="s">
        <v>1797</v>
      </c>
      <c r="M524" s="7" t="str">
        <f>IF(K524="收_客户",INDEX(客户信息维护!C:C,MATCH(银行日记账登记!L524,客户信息维护!B:B,0)),IF(K524="支_供应商",INDEX(供应商信息维护!C:C,MATCH(银行日记账登记!L524,供应商信息维护!B:B,0)),""))</f>
        <v>YISI JIANG</v>
      </c>
      <c r="N524" t="s">
        <v>1799</v>
      </c>
      <c r="Q524" t="s">
        <v>79</v>
      </c>
      <c r="R524" t="s">
        <v>1800</v>
      </c>
    </row>
    <row r="525" spans="2:18" hidden="1" x14ac:dyDescent="0.25">
      <c r="B525" t="s">
        <v>56</v>
      </c>
      <c r="C525" t="s">
        <v>63</v>
      </c>
      <c r="I525">
        <v>544.01</v>
      </c>
      <c r="J525" s="10">
        <v>45216</v>
      </c>
      <c r="K525" t="s">
        <v>100</v>
      </c>
      <c r="L525" s="1" t="s">
        <v>817</v>
      </c>
      <c r="M525" s="7" t="str">
        <f>IF(K525="收_客户",INDEX(客户信息维护!C:C,MATCH(银行日记账登记!L525,客户信息维护!B:B,0)),IF(K525="支_供应商",INDEX(供应商信息维护!C:C,MATCH(银行日记账登记!L525,供应商信息维护!B:B,0)),""))</f>
        <v>LUOJUN WANG</v>
      </c>
      <c r="N525" t="s">
        <v>1801</v>
      </c>
      <c r="Q525" t="s">
        <v>79</v>
      </c>
      <c r="R525" t="s">
        <v>1803</v>
      </c>
    </row>
    <row r="526" spans="2:18" hidden="1" x14ac:dyDescent="0.25">
      <c r="B526" t="s">
        <v>56</v>
      </c>
      <c r="C526" t="s">
        <v>63</v>
      </c>
      <c r="I526">
        <v>3036.75</v>
      </c>
      <c r="J526" s="10">
        <v>45217</v>
      </c>
      <c r="K526" t="s">
        <v>100</v>
      </c>
      <c r="L526" s="1" t="s">
        <v>334</v>
      </c>
      <c r="M526" s="7" t="str">
        <f>IF(K526="收_客户",INDEX(客户信息维护!C:C,MATCH(银行日记账登记!L526,客户信息维护!B:B,0)),IF(K526="支_供应商",INDEX(供应商信息维护!C:C,MATCH(银行日记账登记!L526,供应商信息维护!B:B,0)),""))</f>
        <v>MADE IN CHINA 2022 S.L 米克</v>
      </c>
      <c r="N526" t="s">
        <v>1802</v>
      </c>
      <c r="Q526" t="s">
        <v>79</v>
      </c>
      <c r="R526" t="s">
        <v>1804</v>
      </c>
    </row>
    <row r="527" spans="2:18" hidden="1" x14ac:dyDescent="0.25">
      <c r="B527" t="s">
        <v>55</v>
      </c>
      <c r="C527" t="s">
        <v>148</v>
      </c>
      <c r="I527">
        <v>156.75</v>
      </c>
      <c r="J527" s="10">
        <v>45217</v>
      </c>
      <c r="K527" t="s">
        <v>100</v>
      </c>
      <c r="L527" s="1" t="s">
        <v>1805</v>
      </c>
      <c r="M527" s="7" t="str">
        <f>IF(K527="收_客户",INDEX(客户信息维护!C:C,MATCH(银行日记账登记!L527,客户信息维护!B:B,0)),IF(K527="支_供应商",INDEX(供应商信息维护!C:C,MATCH(银行日记账登记!L527,供应商信息维护!B:B,0)),""))</f>
        <v>CASA FLYING CRANE S.L</v>
      </c>
      <c r="N527" t="s">
        <v>1807</v>
      </c>
      <c r="Q527" t="s">
        <v>79</v>
      </c>
      <c r="R527" t="s">
        <v>1808</v>
      </c>
    </row>
    <row r="528" spans="2:18" hidden="1" x14ac:dyDescent="0.25">
      <c r="B528" t="s">
        <v>56</v>
      </c>
      <c r="C528" t="s">
        <v>127</v>
      </c>
      <c r="I528">
        <v>418.96</v>
      </c>
      <c r="J528" s="10">
        <v>45217</v>
      </c>
      <c r="K528" t="s">
        <v>100</v>
      </c>
      <c r="L528" s="1" t="s">
        <v>1809</v>
      </c>
      <c r="M528" s="7" t="str">
        <f>IF(K528="收_客户",INDEX(客户信息维护!C:C,MATCH(银行日记账登记!L528,客户信息维护!B:B,0)),IF(K528="支_供应商",INDEX(供应商信息维护!C:C,MATCH(银行日记账登记!L528,供应商信息维护!B:B,0)),""))</f>
        <v>PROMA SABIA AKTHER</v>
      </c>
      <c r="N528" t="s">
        <v>1811</v>
      </c>
      <c r="P528" t="s">
        <v>1812</v>
      </c>
      <c r="Q528" t="s">
        <v>79</v>
      </c>
      <c r="R528" t="s">
        <v>1813</v>
      </c>
    </row>
    <row r="529" spans="2:18" hidden="1" x14ac:dyDescent="0.25">
      <c r="B529" t="s">
        <v>56</v>
      </c>
      <c r="C529" t="s">
        <v>127</v>
      </c>
      <c r="I529">
        <v>293.92</v>
      </c>
      <c r="J529" s="10">
        <v>45217</v>
      </c>
      <c r="K529" t="s">
        <v>100</v>
      </c>
      <c r="L529" s="1" t="s">
        <v>1814</v>
      </c>
      <c r="M529" s="7" t="str">
        <f>IF(K529="收_客户",INDEX(客户信息维护!C:C,MATCH(银行日记账登记!L529,客户信息维护!B:B,0)),IF(K529="支_供应商",INDEX(供应商信息维护!C:C,MATCH(银行日记账登记!L529,供应商信息维护!B:B,0)),""))</f>
        <v>KECHU LIN</v>
      </c>
      <c r="N529" t="s">
        <v>1816</v>
      </c>
      <c r="P529" t="s">
        <v>1812</v>
      </c>
      <c r="Q529" t="s">
        <v>79</v>
      </c>
      <c r="R529" t="s">
        <v>1817</v>
      </c>
    </row>
    <row r="530" spans="2:18" hidden="1" x14ac:dyDescent="0.25">
      <c r="B530" t="s">
        <v>56</v>
      </c>
      <c r="C530" t="s">
        <v>127</v>
      </c>
      <c r="I530">
        <v>532.41999999999996</v>
      </c>
      <c r="J530" s="10">
        <v>45217</v>
      </c>
      <c r="K530" t="s">
        <v>100</v>
      </c>
      <c r="L530" s="1" t="s">
        <v>1818</v>
      </c>
      <c r="M530" s="7" t="str">
        <f>IF(K530="收_客户",INDEX(客户信息维护!C:C,MATCH(银行日记账登记!L530,客户信息维护!B:B,0)),IF(K530="支_供应商",INDEX(供应商信息维护!C:C,MATCH(银行日记账登记!L530,供应商信息维护!B:B,0)),""))</f>
        <v xml:space="preserve">YI SHE </v>
      </c>
      <c r="N530" t="s">
        <v>1820</v>
      </c>
      <c r="Q530" t="s">
        <v>79</v>
      </c>
      <c r="R530" t="s">
        <v>1822</v>
      </c>
    </row>
    <row r="531" spans="2:18" hidden="1" x14ac:dyDescent="0.25">
      <c r="B531" t="s">
        <v>56</v>
      </c>
      <c r="C531" t="s">
        <v>127</v>
      </c>
      <c r="I531">
        <v>608.47</v>
      </c>
      <c r="J531" s="10">
        <v>45217</v>
      </c>
      <c r="K531" t="s">
        <v>100</v>
      </c>
      <c r="L531" s="1" t="s">
        <v>1066</v>
      </c>
      <c r="M531" s="7" t="str">
        <f>IF(K531="收_客户",INDEX(客户信息维护!C:C,MATCH(银行日记账登记!L531,客户信息维护!B:B,0)),IF(K531="支_供应商",INDEX(供应商信息维护!C:C,MATCH(银行日记账登记!L531,供应商信息维护!B:B,0)),""))</f>
        <v>JUNJUN JIN</v>
      </c>
      <c r="N531" t="s">
        <v>1821</v>
      </c>
      <c r="Q531" t="s">
        <v>79</v>
      </c>
      <c r="R531" t="s">
        <v>1823</v>
      </c>
    </row>
    <row r="532" spans="2:18" hidden="1" x14ac:dyDescent="0.25">
      <c r="B532" t="s">
        <v>56</v>
      </c>
      <c r="C532" t="s">
        <v>63</v>
      </c>
      <c r="I532">
        <v>454.6</v>
      </c>
      <c r="J532" s="10">
        <v>45217</v>
      </c>
      <c r="K532" t="s">
        <v>100</v>
      </c>
      <c r="L532" s="1" t="s">
        <v>541</v>
      </c>
      <c r="M532" s="7" t="str">
        <f>IF(K532="收_客户",INDEX(客户信息维护!C:C,MATCH(银行日记账登记!L532,客户信息维护!B:B,0)),IF(K532="支_供应商",INDEX(供应商信息维护!C:C,MATCH(银行日记账登记!L532,供应商信息维护!B:B,0)),""))</f>
        <v>XINGFA 2021 S.L</v>
      </c>
      <c r="N532" t="s">
        <v>1824</v>
      </c>
      <c r="Q532" t="s">
        <v>79</v>
      </c>
      <c r="R532" t="s">
        <v>1825</v>
      </c>
    </row>
    <row r="533" spans="2:18" hidden="1" x14ac:dyDescent="0.25">
      <c r="B533" t="s">
        <v>60</v>
      </c>
      <c r="C533" t="s">
        <v>66</v>
      </c>
      <c r="I533">
        <v>1708.87</v>
      </c>
      <c r="J533" s="10">
        <v>45218</v>
      </c>
      <c r="K533" t="s">
        <v>100</v>
      </c>
      <c r="L533" s="16" t="s">
        <v>1826</v>
      </c>
      <c r="M533" s="7" t="str">
        <f>IF(K533="收_客户",INDEX(客户信息维护!C:C,MATCH(银行日记账登记!L533,客户信息维护!B:B,0)),IF(K533="支_供应商",INDEX(供应商信息维护!C:C,MATCH(银行日记账登记!L533,供应商信息维护!B:B,0)),""))</f>
        <v>DIMENSAO JUBILANTE LDA 阿燕</v>
      </c>
      <c r="N533" t="s">
        <v>1828</v>
      </c>
      <c r="Q533" t="s">
        <v>79</v>
      </c>
      <c r="R533" t="s">
        <v>1829</v>
      </c>
    </row>
    <row r="534" spans="2:18" hidden="1" x14ac:dyDescent="0.25">
      <c r="B534" t="s">
        <v>56</v>
      </c>
      <c r="C534" t="s">
        <v>63</v>
      </c>
      <c r="I534">
        <v>882.88</v>
      </c>
      <c r="J534" s="10">
        <v>45218</v>
      </c>
      <c r="K534" t="s">
        <v>100</v>
      </c>
      <c r="L534" s="1" t="s">
        <v>710</v>
      </c>
      <c r="M534" s="7" t="str">
        <f>IF(K534="收_客户",INDEX(客户信息维护!C:C,MATCH(银行日记账登记!L534,客户信息维护!B:B,0)),IF(K534="支_供应商",INDEX(供应商信息维护!C:C,MATCH(银行日记账登记!L534,供应商信息维护!B:B,0)),""))</f>
        <v>AMITOFORTUNA S.L</v>
      </c>
      <c r="N534" t="s">
        <v>1830</v>
      </c>
      <c r="P534" t="s">
        <v>303</v>
      </c>
      <c r="Q534" t="s">
        <v>79</v>
      </c>
      <c r="R534" t="s">
        <v>1834</v>
      </c>
    </row>
    <row r="535" spans="2:18" hidden="1" x14ac:dyDescent="0.25">
      <c r="B535" t="s">
        <v>56</v>
      </c>
      <c r="C535" t="s">
        <v>63</v>
      </c>
      <c r="I535">
        <v>2098.73</v>
      </c>
      <c r="J535" s="10">
        <v>45218</v>
      </c>
      <c r="K535" t="s">
        <v>100</v>
      </c>
      <c r="L535" s="1" t="s">
        <v>1831</v>
      </c>
      <c r="M535" s="7" t="str">
        <f>IF(K535="收_客户",INDEX(客户信息维护!C:C,MATCH(银行日记账登记!L535,客户信息维护!B:B,0)),IF(K535="支_供应商",INDEX(供应商信息维护!C:C,MATCH(银行日记账登记!L535,供应商信息维护!B:B,0)),""))</f>
        <v>YONGWEI CHEN</v>
      </c>
      <c r="N535" t="s">
        <v>1833</v>
      </c>
      <c r="P535" t="s">
        <v>303</v>
      </c>
      <c r="Q535" t="s">
        <v>79</v>
      </c>
      <c r="R535" t="s">
        <v>1835</v>
      </c>
    </row>
    <row r="536" spans="2:18" hidden="1" x14ac:dyDescent="0.25">
      <c r="B536" t="s">
        <v>56</v>
      </c>
      <c r="C536" t="s">
        <v>127</v>
      </c>
      <c r="I536">
        <v>707.12</v>
      </c>
      <c r="J536" s="10">
        <v>45219</v>
      </c>
      <c r="K536" t="s">
        <v>100</v>
      </c>
      <c r="L536" s="1" t="s">
        <v>1836</v>
      </c>
      <c r="M536" s="7" t="str">
        <f>IF(K536="收_客户",INDEX(客户信息维护!C:C,MATCH(银行日记账登记!L536,客户信息维护!B:B,0)),IF(K536="支_供应商",INDEX(供应商信息维护!C:C,MATCH(银行日记账登记!L536,供应商信息维护!B:B,0)),""))</f>
        <v>FU DA 2017 S.L</v>
      </c>
      <c r="N536" t="s">
        <v>1838</v>
      </c>
      <c r="P536" t="s">
        <v>1812</v>
      </c>
      <c r="Q536" t="s">
        <v>79</v>
      </c>
      <c r="R536" t="s">
        <v>1842</v>
      </c>
    </row>
    <row r="537" spans="2:18" hidden="1" x14ac:dyDescent="0.25">
      <c r="B537" t="s">
        <v>56</v>
      </c>
      <c r="C537" t="s">
        <v>127</v>
      </c>
      <c r="H537" s="44"/>
      <c r="I537">
        <v>496.33</v>
      </c>
      <c r="J537" s="10">
        <v>45219</v>
      </c>
      <c r="K537" t="s">
        <v>100</v>
      </c>
      <c r="L537" s="1" t="s">
        <v>1839</v>
      </c>
      <c r="M537" s="7" t="str">
        <f>IF(K537="收_客户",INDEX(客户信息维护!C:C,MATCH(银行日记账登记!L537,客户信息维护!B:B,0)),IF(K537="支_供应商",INDEX(供应商信息维护!C:C,MATCH(银行日记账登记!L537,供应商信息维护!B:B,0)),""))</f>
        <v>VTTARTICULOS SL.</v>
      </c>
      <c r="N537" t="s">
        <v>1841</v>
      </c>
      <c r="Q537" t="s">
        <v>79</v>
      </c>
      <c r="R537" t="s">
        <v>1843</v>
      </c>
    </row>
    <row r="538" spans="2:18" hidden="1" x14ac:dyDescent="0.25">
      <c r="B538" t="s">
        <v>56</v>
      </c>
      <c r="C538" t="s">
        <v>63</v>
      </c>
      <c r="I538">
        <v>2747.56</v>
      </c>
      <c r="J538" s="10">
        <v>45218</v>
      </c>
      <c r="K538" t="s">
        <v>100</v>
      </c>
      <c r="L538" s="1" t="s">
        <v>1844</v>
      </c>
      <c r="M538" s="7" t="str">
        <f>IF(K538="收_客户",INDEX(客户信息维护!C:C,MATCH(银行日记账登记!L538,客户信息维护!B:B,0)),IF(K538="支_供应商",INDEX(供应商信息维护!C:C,MATCH(银行日记账登记!L538,供应商信息维护!B:B,0)),""))</f>
        <v>GRAN BAZAR PLAZA CHINA S.L</v>
      </c>
      <c r="N538" t="s">
        <v>1846</v>
      </c>
      <c r="Q538" t="s">
        <v>79</v>
      </c>
      <c r="R538" t="s">
        <v>1857</v>
      </c>
    </row>
    <row r="539" spans="2:18" hidden="1" x14ac:dyDescent="0.25">
      <c r="B539" t="s">
        <v>56</v>
      </c>
      <c r="C539" t="s">
        <v>63</v>
      </c>
      <c r="I539">
        <v>268.04000000000002</v>
      </c>
      <c r="J539" s="10">
        <v>45219</v>
      </c>
      <c r="K539" t="s">
        <v>100</v>
      </c>
      <c r="L539" s="1" t="s">
        <v>1847</v>
      </c>
      <c r="M539" s="7" t="str">
        <f>IF(K539="收_客户",INDEX(客户信息维护!C:C,MATCH(银行日记账登记!L539,客户信息维护!B:B,0)),IF(K539="支_供应商",INDEX(供应商信息维护!C:C,MATCH(银行日记账登记!L539,供应商信息维护!B:B,0)),""))</f>
        <v>RIANXO CITY S.L</v>
      </c>
      <c r="N539" t="s">
        <v>1849</v>
      </c>
      <c r="Q539" t="s">
        <v>79</v>
      </c>
      <c r="R539" t="s">
        <v>1858</v>
      </c>
    </row>
    <row r="540" spans="2:18" hidden="1" x14ac:dyDescent="0.25">
      <c r="B540" t="s">
        <v>56</v>
      </c>
      <c r="C540" t="s">
        <v>63</v>
      </c>
      <c r="I540">
        <v>1310.2</v>
      </c>
      <c r="J540" s="10">
        <v>45219</v>
      </c>
      <c r="K540" t="s">
        <v>100</v>
      </c>
      <c r="L540" s="1" t="s">
        <v>1850</v>
      </c>
      <c r="M540" s="7" t="str">
        <f>IF(K540="收_客户",INDEX(客户信息维护!C:C,MATCH(银行日记账登记!L540,客户信息维护!B:B,0)),IF(K540="支_供应商",INDEX(供应商信息维护!C:C,MATCH(银行日记账登记!L540,供应商信息维护!B:B,0)),""))</f>
        <v>COMERCIO ASIA ZHOU S.L</v>
      </c>
      <c r="N540" t="s">
        <v>1852</v>
      </c>
      <c r="P540" t="s">
        <v>303</v>
      </c>
      <c r="Q540" t="s">
        <v>79</v>
      </c>
      <c r="R540" t="s">
        <v>1859</v>
      </c>
    </row>
    <row r="541" spans="2:18" hidden="1" x14ac:dyDescent="0.25">
      <c r="B541" t="s">
        <v>56</v>
      </c>
      <c r="C541" t="s">
        <v>63</v>
      </c>
      <c r="I541">
        <v>1961.62</v>
      </c>
      <c r="J541" s="10">
        <v>45219</v>
      </c>
      <c r="K541" t="s">
        <v>100</v>
      </c>
      <c r="L541" s="1" t="s">
        <v>295</v>
      </c>
      <c r="M541" s="7" t="str">
        <f>IF(K541="收_客户",INDEX(客户信息维护!C:C,MATCH(银行日记账登记!L541,客户信息维护!B:B,0)),IF(K541="支_供应商",INDEX(供应商信息维护!C:C,MATCH(银行日记账登记!L541,供应商信息维护!B:B,0)),""))</f>
        <v>XIAOJUN CHEN</v>
      </c>
      <c r="N541" t="s">
        <v>1853</v>
      </c>
      <c r="Q541" t="s">
        <v>79</v>
      </c>
      <c r="R541" t="s">
        <v>1860</v>
      </c>
    </row>
    <row r="542" spans="2:18" hidden="1" x14ac:dyDescent="0.25">
      <c r="B542" t="s">
        <v>56</v>
      </c>
      <c r="C542" t="s">
        <v>63</v>
      </c>
      <c r="I542">
        <v>3462.35</v>
      </c>
      <c r="J542" s="10">
        <v>45219</v>
      </c>
      <c r="K542" t="s">
        <v>100</v>
      </c>
      <c r="L542" s="1" t="s">
        <v>1854</v>
      </c>
      <c r="M542" s="7" t="str">
        <f>IF(K542="收_客户",INDEX(客户信息维护!C:C,MATCH(银行日记账登记!L542,客户信息维护!B:B,0)),IF(K542="支_供应商",INDEX(供应商信息维护!C:C,MATCH(银行日记账登记!L542,供应商信息维护!B:B,0)),""))</f>
        <v>HAO RAO</v>
      </c>
      <c r="N542" t="s">
        <v>1856</v>
      </c>
      <c r="Q542" t="s">
        <v>79</v>
      </c>
      <c r="R542" t="s">
        <v>1861</v>
      </c>
    </row>
    <row r="543" spans="2:18" hidden="1" x14ac:dyDescent="0.25">
      <c r="B543" t="s">
        <v>60</v>
      </c>
      <c r="C543" t="s">
        <v>66</v>
      </c>
      <c r="I543">
        <v>1727.9</v>
      </c>
      <c r="J543" s="10">
        <v>45219</v>
      </c>
      <c r="K543" t="s">
        <v>100</v>
      </c>
      <c r="L543" s="16" t="s">
        <v>1862</v>
      </c>
      <c r="M543" s="7" t="str">
        <f>IF(K543="收_客户",INDEX(客户信息维护!C:C,MATCH(银行日记账登记!L543,客户信息维护!B:B,0)),IF(K543="支_供应商",INDEX(供应商信息维护!C:C,MATCH(银行日记账登记!L543,供应商信息维护!B:B,0)),""))</f>
        <v>SPRING PRINCESS LDA 叶伟晓 新店</v>
      </c>
      <c r="N543" t="s">
        <v>1864</v>
      </c>
      <c r="Q543" t="s">
        <v>79</v>
      </c>
      <c r="R543" t="s">
        <v>1865</v>
      </c>
    </row>
    <row r="544" spans="2:18" hidden="1" x14ac:dyDescent="0.25">
      <c r="B544" t="s">
        <v>56</v>
      </c>
      <c r="C544" t="s">
        <v>127</v>
      </c>
      <c r="I544">
        <v>922.46</v>
      </c>
      <c r="J544" s="10">
        <v>45219</v>
      </c>
      <c r="K544" t="s">
        <v>100</v>
      </c>
      <c r="L544" s="1" t="s">
        <v>1866</v>
      </c>
      <c r="M544" s="7" t="str">
        <f>IF(K544="收_客户",INDEX(客户信息维护!C:C,MATCH(银行日记账登记!L544,客户信息维护!B:B,0)),IF(K544="支_供应商",INDEX(供应商信息维护!C:C,MATCH(银行日记账登记!L544,供应商信息维护!B:B,0)),""))</f>
        <v>UNION DU-ZHAN C.B</v>
      </c>
      <c r="N544" t="s">
        <v>1868</v>
      </c>
      <c r="Q544" t="s">
        <v>79</v>
      </c>
      <c r="R544" t="s">
        <v>1879</v>
      </c>
    </row>
    <row r="545" spans="2:18" hidden="1" x14ac:dyDescent="0.25">
      <c r="B545" t="s">
        <v>56</v>
      </c>
      <c r="C545" t="s">
        <v>127</v>
      </c>
      <c r="I545">
        <v>958.46</v>
      </c>
      <c r="J545" s="10">
        <v>45220</v>
      </c>
      <c r="K545" t="s">
        <v>100</v>
      </c>
      <c r="L545" s="1" t="s">
        <v>510</v>
      </c>
      <c r="M545" s="7" t="str">
        <f>IF(K545="收_客户",INDEX(客户信息维护!C:C,MATCH(银行日记账登记!L545,客户信息维护!B:B,0)),IF(K545="支_供应商",INDEX(供应商信息维护!C:C,MATCH(银行日记账登记!L545,供应商信息维护!B:B,0)),""))</f>
        <v>BASAR LLUIS COMPANYS S.L</v>
      </c>
      <c r="N545" t="s">
        <v>1869</v>
      </c>
      <c r="Q545" t="s">
        <v>79</v>
      </c>
      <c r="R545" t="s">
        <v>1880</v>
      </c>
    </row>
    <row r="546" spans="2:18" hidden="1" x14ac:dyDescent="0.25">
      <c r="B546" t="s">
        <v>56</v>
      </c>
      <c r="C546" t="s">
        <v>127</v>
      </c>
      <c r="I546">
        <v>457.24</v>
      </c>
      <c r="J546" s="10">
        <v>45220</v>
      </c>
      <c r="K546" t="s">
        <v>100</v>
      </c>
      <c r="L546" s="1" t="s">
        <v>1870</v>
      </c>
      <c r="M546" s="7" t="str">
        <f>IF(K546="收_客户",INDEX(客户信息维护!C:C,MATCH(银行日记账登记!L546,客户信息维护!B:B,0)),IF(K546="支_供应商",INDEX(供应商信息维护!C:C,MATCH(银行日记账登记!L546,供应商信息维护!B:B,0)),""))</f>
        <v>BAT-BI INFORMATIKA S.L</v>
      </c>
      <c r="N546" t="s">
        <v>1872</v>
      </c>
      <c r="Q546" t="s">
        <v>79</v>
      </c>
      <c r="R546" t="s">
        <v>1881</v>
      </c>
    </row>
    <row r="547" spans="2:18" hidden="1" x14ac:dyDescent="0.25">
      <c r="B547" t="s">
        <v>56</v>
      </c>
      <c r="C547" t="s">
        <v>127</v>
      </c>
      <c r="I547">
        <v>566.66999999999996</v>
      </c>
      <c r="J547" s="10">
        <v>45220</v>
      </c>
      <c r="K547" t="s">
        <v>100</v>
      </c>
      <c r="L547" s="1" t="s">
        <v>1873</v>
      </c>
      <c r="M547" s="7" t="str">
        <f>IF(K547="收_客户",INDEX(客户信息维护!C:C,MATCH(银行日记账登记!L547,客户信息维护!B:B,0)),IF(K547="支_供应商",INDEX(供应商信息维护!C:C,MATCH(银行日记账登记!L547,供应商信息维护!B:B,0)),""))</f>
        <v>JIANWEI XIA</v>
      </c>
      <c r="N547" t="s">
        <v>1875</v>
      </c>
      <c r="Q547" t="s">
        <v>79</v>
      </c>
      <c r="R547" t="s">
        <v>1882</v>
      </c>
    </row>
    <row r="548" spans="2:18" hidden="1" x14ac:dyDescent="0.25">
      <c r="B548" t="s">
        <v>56</v>
      </c>
      <c r="C548" t="s">
        <v>127</v>
      </c>
      <c r="I548">
        <v>883.8</v>
      </c>
      <c r="J548" s="10">
        <v>45222</v>
      </c>
      <c r="K548" t="s">
        <v>100</v>
      </c>
      <c r="L548" s="1" t="s">
        <v>1876</v>
      </c>
      <c r="M548" s="7" t="str">
        <f>IF(K548="收_客户",INDEX(客户信息维护!C:C,MATCH(银行日记账登记!L548,客户信息维护!B:B,0)),IF(K548="支_供应商",INDEX(供应商信息维护!C:C,MATCH(银行日记账登记!L548,供应商信息维护!B:B,0)),""))</f>
        <v>COVALPETROL S.L.</v>
      </c>
      <c r="N548" t="s">
        <v>1878</v>
      </c>
      <c r="Q548" t="s">
        <v>79</v>
      </c>
      <c r="R548" t="s">
        <v>1883</v>
      </c>
    </row>
    <row r="549" spans="2:18" hidden="1" x14ac:dyDescent="0.25">
      <c r="B549" t="s">
        <v>60</v>
      </c>
      <c r="C549" t="s">
        <v>66</v>
      </c>
      <c r="I549">
        <v>506.52</v>
      </c>
      <c r="J549" s="10">
        <v>45222</v>
      </c>
      <c r="K549" t="s">
        <v>100</v>
      </c>
      <c r="L549" s="16" t="s">
        <v>838</v>
      </c>
      <c r="M549" s="7" t="str">
        <f>IF(K549="收_客户",INDEX(客户信息维护!C:C,MATCH(银行日记账登记!L549,客户信息维护!B:B,0)),IF(K549="支_供应商",INDEX(供应商信息维护!C:C,MATCH(银行日记账登记!L549,供应商信息维护!B:B,0)),""))</f>
        <v>SUQUAN XU 徐苏权</v>
      </c>
      <c r="N549" t="s">
        <v>1884</v>
      </c>
      <c r="Q549" t="s">
        <v>79</v>
      </c>
      <c r="R549" t="s">
        <v>1885</v>
      </c>
    </row>
    <row r="550" spans="2:18" hidden="1" x14ac:dyDescent="0.25">
      <c r="B550" t="s">
        <v>60</v>
      </c>
      <c r="C550" t="s">
        <v>66</v>
      </c>
      <c r="I550">
        <v>1030.27</v>
      </c>
      <c r="J550" s="10">
        <v>45222</v>
      </c>
      <c r="K550" t="s">
        <v>100</v>
      </c>
      <c r="L550" s="16" t="s">
        <v>459</v>
      </c>
      <c r="M550" s="7" t="str">
        <f>IF(K550="收_客户",INDEX(客户信息维护!C:C,MATCH(银行日记账登记!L550,客户信息维护!B:B,0)),IF(K550="支_供应商",INDEX(供应商信息维护!C:C,MATCH(银行日记账登记!L550,供应商信息维护!B:B,0)),""))</f>
        <v>HAOYUNLAI LDA</v>
      </c>
      <c r="N550" t="s">
        <v>1886</v>
      </c>
      <c r="Q550" t="s">
        <v>79</v>
      </c>
      <c r="R550" t="s">
        <v>1887</v>
      </c>
    </row>
    <row r="551" spans="2:18" hidden="1" x14ac:dyDescent="0.25">
      <c r="B551" t="s">
        <v>56</v>
      </c>
      <c r="C551" t="s">
        <v>127</v>
      </c>
      <c r="I551">
        <v>590.85</v>
      </c>
      <c r="J551" s="10">
        <v>45223</v>
      </c>
      <c r="K551" t="s">
        <v>100</v>
      </c>
      <c r="L551" s="1" t="s">
        <v>801</v>
      </c>
      <c r="M551" s="7" t="str">
        <f>IF(K551="收_客户",INDEX(客户信息维护!C:C,MATCH(银行日记账登记!L551,客户信息维护!B:B,0)),IF(K551="支_供应商",INDEX(供应商信息维护!C:C,MATCH(银行日记账登记!L551,供应商信息维护!B:B,0)),""))</f>
        <v>SENWEI WU</v>
      </c>
      <c r="N551" t="s">
        <v>1888</v>
      </c>
      <c r="Q551" t="s">
        <v>79</v>
      </c>
      <c r="R551" t="s">
        <v>1890</v>
      </c>
    </row>
    <row r="552" spans="2:18" hidden="1" x14ac:dyDescent="0.25">
      <c r="B552" t="s">
        <v>56</v>
      </c>
      <c r="C552" t="s">
        <v>127</v>
      </c>
      <c r="I552">
        <v>2190.42</v>
      </c>
      <c r="J552" s="10">
        <v>45223</v>
      </c>
      <c r="K552" t="s">
        <v>100</v>
      </c>
      <c r="L552" s="1" t="s">
        <v>479</v>
      </c>
      <c r="M552" s="7" t="str">
        <f>IF(K552="收_客户",INDEX(客户信息维护!C:C,MATCH(银行日记账登记!L552,客户信息维护!B:B,0)),IF(K552="支_供应商",INDEX(供应商信息维护!C:C,MATCH(银行日记账登记!L552,供应商信息维护!B:B,0)),""))</f>
        <v>COUSINESHOP 2019 S.L</v>
      </c>
      <c r="N552" t="s">
        <v>1889</v>
      </c>
      <c r="Q552" t="s">
        <v>79</v>
      </c>
      <c r="R552" t="s">
        <v>1891</v>
      </c>
    </row>
    <row r="553" spans="2:18" hidden="1" x14ac:dyDescent="0.25">
      <c r="B553" t="s">
        <v>60</v>
      </c>
      <c r="C553" t="s">
        <v>66</v>
      </c>
      <c r="I553">
        <v>701.59</v>
      </c>
      <c r="J553" s="10">
        <v>45223</v>
      </c>
      <c r="K553" t="s">
        <v>100</v>
      </c>
      <c r="L553" s="16" t="s">
        <v>973</v>
      </c>
      <c r="M553" s="7" t="str">
        <f>IF(K553="收_客户",INDEX(客户信息维护!C:C,MATCH(银行日记账登记!L553,客户信息维护!B:B,0)),IF(K553="支_供应商",INDEX(供应商信息维护!C:C,MATCH(银行日记账登记!L553,供应商信息维护!B:B,0)),""))</f>
        <v>XU ZHENG 郑旭</v>
      </c>
      <c r="N553" t="s">
        <v>1892</v>
      </c>
      <c r="Q553" t="s">
        <v>79</v>
      </c>
      <c r="R553" t="s">
        <v>1896</v>
      </c>
    </row>
    <row r="554" spans="2:18" hidden="1" x14ac:dyDescent="0.25">
      <c r="B554" t="s">
        <v>60</v>
      </c>
      <c r="C554" t="s">
        <v>66</v>
      </c>
      <c r="I554">
        <v>976.26</v>
      </c>
      <c r="J554" s="10">
        <v>45223</v>
      </c>
      <c r="K554" t="s">
        <v>100</v>
      </c>
      <c r="L554" s="16" t="s">
        <v>1893</v>
      </c>
      <c r="M554" s="7" t="str">
        <f>IF(K554="收_客户",INDEX(客户信息维护!C:C,MATCH(银行日记账登记!L554,客户信息维护!B:B,0)),IF(K554="支_供应商",INDEX(供应商信息维护!C:C,MATCH(银行日记账登记!L554,供应商信息维护!B:B,0)),""))</f>
        <v>XIAOQIU LU 杜圣其</v>
      </c>
      <c r="N554" t="s">
        <v>1895</v>
      </c>
      <c r="Q554" t="s">
        <v>79</v>
      </c>
      <c r="R554" t="s">
        <v>1897</v>
      </c>
    </row>
    <row r="555" spans="2:18" hidden="1" x14ac:dyDescent="0.25">
      <c r="B555" t="s">
        <v>56</v>
      </c>
      <c r="C555" t="s">
        <v>63</v>
      </c>
      <c r="I555">
        <v>5981.12</v>
      </c>
      <c r="J555" s="10">
        <v>45222</v>
      </c>
      <c r="K555" t="s">
        <v>100</v>
      </c>
      <c r="L555" s="1" t="s">
        <v>662</v>
      </c>
      <c r="M555" s="7" t="str">
        <f>IF(K555="收_客户",INDEX(客户信息维护!C:C,MATCH(银行日记账登记!L555,客户信息维护!B:B,0)),IF(K555="支_供应商",INDEX(供应商信息维护!C:C,MATCH(银行日记账登记!L555,供应商信息维护!B:B,0)),""))</f>
        <v>STOCK IN SPAIN ELECTRONICS S.L 步步高</v>
      </c>
      <c r="N555" t="s">
        <v>1898</v>
      </c>
      <c r="P555" t="s">
        <v>303</v>
      </c>
      <c r="Q555" t="s">
        <v>79</v>
      </c>
      <c r="R555" t="s">
        <v>1913</v>
      </c>
    </row>
    <row r="556" spans="2:18" hidden="1" x14ac:dyDescent="0.25">
      <c r="B556" t="s">
        <v>56</v>
      </c>
      <c r="C556" t="s">
        <v>63</v>
      </c>
      <c r="I556">
        <v>420.4</v>
      </c>
      <c r="J556" s="10">
        <v>45223</v>
      </c>
      <c r="K556" t="s">
        <v>100</v>
      </c>
      <c r="L556" s="1" t="s">
        <v>1899</v>
      </c>
      <c r="M556" s="7" t="str">
        <f>IF(K556="收_客户",INDEX(客户信息维护!C:C,MATCH(银行日记账登记!L556,客户信息维护!B:B,0)),IF(K556="支_供应商",INDEX(供应商信息维护!C:C,MATCH(银行日记账登记!L556,供应商信息维护!B:B,0)),""))</f>
        <v>BAZAR CHINO BARBASTRO S.C</v>
      </c>
      <c r="N556" t="s">
        <v>1901</v>
      </c>
      <c r="Q556" t="s">
        <v>79</v>
      </c>
      <c r="R556" t="s">
        <v>1914</v>
      </c>
    </row>
    <row r="557" spans="2:18" hidden="1" x14ac:dyDescent="0.25">
      <c r="B557" t="s">
        <v>56</v>
      </c>
      <c r="C557" t="s">
        <v>63</v>
      </c>
      <c r="I557">
        <v>266.22000000000003</v>
      </c>
      <c r="J557" s="10">
        <v>45223</v>
      </c>
      <c r="K557" t="s">
        <v>100</v>
      </c>
      <c r="L557" s="1" t="s">
        <v>579</v>
      </c>
      <c r="M557" s="7" t="str">
        <f>IF(K557="收_客户",INDEX(客户信息维护!C:C,MATCH(银行日记账登记!L557,客户信息维护!B:B,0)),IF(K557="支_供应商",INDEX(供应商信息维护!C:C,MATCH(银行日记账登记!L557,供应商信息维护!B:B,0)),""))</f>
        <v>LEI YE</v>
      </c>
      <c r="N557" t="s">
        <v>1902</v>
      </c>
      <c r="Q557" t="s">
        <v>79</v>
      </c>
      <c r="R557" t="s">
        <v>1915</v>
      </c>
    </row>
    <row r="558" spans="2:18" hidden="1" x14ac:dyDescent="0.25">
      <c r="B558" t="s">
        <v>56</v>
      </c>
      <c r="C558" t="s">
        <v>63</v>
      </c>
      <c r="I558">
        <v>2992.78</v>
      </c>
      <c r="J558" s="10">
        <v>45223</v>
      </c>
      <c r="K558" t="s">
        <v>100</v>
      </c>
      <c r="L558" s="1" t="s">
        <v>1903</v>
      </c>
      <c r="M558" s="7" t="str">
        <f>IF(K558="收_客户",INDEX(客户信息维护!C:C,MATCH(银行日记账登记!L558,客户信息维护!B:B,0)),IF(K558="支_供应商",INDEX(供应商信息维护!C:C,MATCH(银行日记账登记!L558,供应商信息维护!B:B,0)),""))</f>
        <v>EL MEJOR HOGAR Y MODA S.L</v>
      </c>
      <c r="N558" t="s">
        <v>1905</v>
      </c>
      <c r="Q558" t="s">
        <v>79</v>
      </c>
      <c r="R558" t="s">
        <v>1916</v>
      </c>
    </row>
    <row r="559" spans="2:18" hidden="1" x14ac:dyDescent="0.25">
      <c r="B559" t="s">
        <v>56</v>
      </c>
      <c r="C559" t="s">
        <v>63</v>
      </c>
      <c r="I559">
        <v>2819.58</v>
      </c>
      <c r="J559" s="10">
        <v>45223</v>
      </c>
      <c r="K559" t="s">
        <v>100</v>
      </c>
      <c r="L559" s="1" t="s">
        <v>1903</v>
      </c>
      <c r="M559" s="7" t="str">
        <f>IF(K559="收_客户",INDEX(客户信息维护!C:C,MATCH(银行日记账登记!L559,客户信息维护!B:B,0)),IF(K559="支_供应商",INDEX(供应商信息维护!C:C,MATCH(银行日记账登记!L559,供应商信息维护!B:B,0)),""))</f>
        <v>EL MEJOR HOGAR Y MODA S.L</v>
      </c>
      <c r="N559" t="s">
        <v>1906</v>
      </c>
      <c r="Q559" t="s">
        <v>79</v>
      </c>
      <c r="R559" t="s">
        <v>1917</v>
      </c>
    </row>
    <row r="560" spans="2:18" hidden="1" x14ac:dyDescent="0.25">
      <c r="B560" t="s">
        <v>56</v>
      </c>
      <c r="C560" t="s">
        <v>63</v>
      </c>
      <c r="I560">
        <v>619.84</v>
      </c>
      <c r="J560" s="10">
        <v>45223</v>
      </c>
      <c r="K560" t="s">
        <v>100</v>
      </c>
      <c r="L560" s="1" t="s">
        <v>774</v>
      </c>
      <c r="M560" s="7" t="str">
        <f>IF(K560="收_客户",INDEX(客户信息维护!C:C,MATCH(银行日记账登记!L560,客户信息维护!B:B,0)),IF(K560="支_供应商",INDEX(供应商信息维护!C:C,MATCH(银行日记账登记!L560,供应商信息维护!B:B,0)),""))</f>
        <v>SISI LIU</v>
      </c>
      <c r="N560" t="s">
        <v>1907</v>
      </c>
      <c r="Q560" t="s">
        <v>79</v>
      </c>
      <c r="R560" t="s">
        <v>1918</v>
      </c>
    </row>
    <row r="561" spans="2:18" hidden="1" x14ac:dyDescent="0.25">
      <c r="B561" t="s">
        <v>56</v>
      </c>
      <c r="C561" t="s">
        <v>63</v>
      </c>
      <c r="I561">
        <v>626.29999999999995</v>
      </c>
      <c r="J561" s="10">
        <v>45223</v>
      </c>
      <c r="K561" t="s">
        <v>100</v>
      </c>
      <c r="L561" s="1" t="s">
        <v>1908</v>
      </c>
      <c r="M561" s="7" t="str">
        <f>IF(K561="收_客户",INDEX(客户信息维护!C:C,MATCH(银行日记账登记!L561,客户信息维护!B:B,0)),IF(K561="支_供应商",INDEX(供应商信息维护!C:C,MATCH(银行日记账登记!L561,供应商信息维护!B:B,0)),""))</f>
        <v>PAN MINPING</v>
      </c>
      <c r="N561" t="s">
        <v>1910</v>
      </c>
      <c r="Q561" t="s">
        <v>79</v>
      </c>
      <c r="R561" t="s">
        <v>1919</v>
      </c>
    </row>
    <row r="562" spans="2:18" hidden="1" x14ac:dyDescent="0.25">
      <c r="B562" t="s">
        <v>56</v>
      </c>
      <c r="C562" t="s">
        <v>63</v>
      </c>
      <c r="I562">
        <v>696.6</v>
      </c>
      <c r="J562" s="10">
        <v>45223</v>
      </c>
      <c r="K562" t="s">
        <v>100</v>
      </c>
      <c r="L562" s="1" t="s">
        <v>859</v>
      </c>
      <c r="M562" s="7" t="str">
        <f>IF(K562="收_客户",INDEX(客户信息维护!C:C,MATCH(银行日记账登记!L562,客户信息维护!B:B,0)),IF(K562="支_供应商",INDEX(供应商信息维护!C:C,MATCH(银行日记账登记!L562,供应商信息维护!B:B,0)),""))</f>
        <v>JIANZHONG YING</v>
      </c>
      <c r="N562" t="s">
        <v>1911</v>
      </c>
      <c r="Q562" t="s">
        <v>79</v>
      </c>
      <c r="R562" t="s">
        <v>1920</v>
      </c>
    </row>
    <row r="563" spans="2:18" hidden="1" x14ac:dyDescent="0.25">
      <c r="B563" t="s">
        <v>56</v>
      </c>
      <c r="C563" t="s">
        <v>63</v>
      </c>
      <c r="I563">
        <v>556.05999999999995</v>
      </c>
      <c r="J563" s="10">
        <v>45223</v>
      </c>
      <c r="K563" t="s">
        <v>100</v>
      </c>
      <c r="L563" s="1" t="s">
        <v>582</v>
      </c>
      <c r="M563" s="7" t="str">
        <f>IF(K563="收_客户",INDEX(客户信息维护!C:C,MATCH(银行日记账登记!L563,客户信息维护!B:B,0)),IF(K563="支_供应商",INDEX(供应商信息维护!C:C,MATCH(银行日记账登记!L563,供应商信息维护!B:B,0)),""))</f>
        <v>FU LIN</v>
      </c>
      <c r="N563" t="s">
        <v>1912</v>
      </c>
      <c r="Q563" t="s">
        <v>79</v>
      </c>
      <c r="R563" t="s">
        <v>1921</v>
      </c>
    </row>
    <row r="564" spans="2:18" hidden="1" x14ac:dyDescent="0.25">
      <c r="B564" t="s">
        <v>56</v>
      </c>
      <c r="C564" t="s">
        <v>63</v>
      </c>
      <c r="I564">
        <v>1143.5899999999999</v>
      </c>
      <c r="J564" s="10">
        <v>45223</v>
      </c>
      <c r="K564" t="s">
        <v>100</v>
      </c>
      <c r="L564" s="1" t="s">
        <v>1922</v>
      </c>
      <c r="M564" s="7" t="str">
        <f>IF(K564="收_客户",INDEX(客户信息维护!C:C,MATCH(银行日记账登记!L564,客户信息维护!B:B,0)),IF(K564="支_供应商",INDEX(供应商信息维护!C:C,MATCH(银行日记账登记!L564,供应商信息维护!B:B,0)),""))</f>
        <v>ALBOX-2014 S.L</v>
      </c>
      <c r="N564" t="s">
        <v>1924</v>
      </c>
      <c r="Q564" t="s">
        <v>79</v>
      </c>
      <c r="R564" t="s">
        <v>1925</v>
      </c>
    </row>
    <row r="565" spans="2:18" hidden="1" x14ac:dyDescent="0.25">
      <c r="B565" t="s">
        <v>56</v>
      </c>
      <c r="C565" t="s">
        <v>127</v>
      </c>
      <c r="I565">
        <v>1475</v>
      </c>
      <c r="J565" s="10">
        <v>45223</v>
      </c>
      <c r="K565" t="s">
        <v>100</v>
      </c>
      <c r="L565" s="1" t="s">
        <v>1926</v>
      </c>
      <c r="M565" s="7" t="str">
        <f>IF(K565="收_客户",INDEX(客户信息维护!C:C,MATCH(银行日记账登记!L565,客户信息维护!B:B,0)),IF(K565="支_供应商",INDEX(供应商信息维护!C:C,MATCH(银行日记账登记!L565,供应商信息维护!B:B,0)),""))</f>
        <v>AC-PLAZA FORTUNA S.L</v>
      </c>
      <c r="N565" t="s">
        <v>1928</v>
      </c>
      <c r="Q565" t="s">
        <v>79</v>
      </c>
      <c r="R565" t="s">
        <v>1936</v>
      </c>
    </row>
    <row r="566" spans="2:18" hidden="1" x14ac:dyDescent="0.25">
      <c r="B566" t="s">
        <v>56</v>
      </c>
      <c r="C566" t="s">
        <v>127</v>
      </c>
      <c r="I566">
        <v>976.7</v>
      </c>
      <c r="J566" s="10">
        <v>45223</v>
      </c>
      <c r="K566" t="s">
        <v>100</v>
      </c>
      <c r="L566" s="1" t="s">
        <v>996</v>
      </c>
      <c r="M566" s="7" t="str">
        <f>IF(K566="收_客户",INDEX(客户信息维护!C:C,MATCH(银行日记账登记!L566,客户信息维护!B:B,0)),IF(K566="支_供应商",INDEX(供应商信息维护!C:C,MATCH(银行日记账登记!L566,供应商信息维护!B:B,0)),""))</f>
        <v>MARKET FAMILY XU S.L</v>
      </c>
      <c r="N566" t="s">
        <v>1929</v>
      </c>
      <c r="Q566" t="s">
        <v>79</v>
      </c>
      <c r="R566" t="s">
        <v>1937</v>
      </c>
    </row>
    <row r="567" spans="2:18" hidden="1" x14ac:dyDescent="0.25">
      <c r="B567" t="s">
        <v>56</v>
      </c>
      <c r="C567" t="s">
        <v>127</v>
      </c>
      <c r="I567">
        <v>1910.29</v>
      </c>
      <c r="J567" s="10">
        <v>45223</v>
      </c>
      <c r="K567" t="s">
        <v>100</v>
      </c>
      <c r="L567" s="1" t="s">
        <v>1930</v>
      </c>
      <c r="M567" s="7" t="str">
        <f>IF(K567="收_客户",INDEX(客户信息维护!C:C,MATCH(银行日记账登记!L567,客户信息维护!B:B,0)),IF(K567="支_供应商",INDEX(供应商信息维护!C:C,MATCH(银行日记账登记!L567,供应商信息维护!B:B,0)),""))</f>
        <v>HIPER VILLARROBLEDO S.L.</v>
      </c>
      <c r="N567" t="s">
        <v>1932</v>
      </c>
      <c r="Q567" t="s">
        <v>79</v>
      </c>
      <c r="R567" t="s">
        <v>1938</v>
      </c>
    </row>
    <row r="568" spans="2:18" hidden="1" x14ac:dyDescent="0.25">
      <c r="B568" t="s">
        <v>56</v>
      </c>
      <c r="C568" t="s">
        <v>127</v>
      </c>
      <c r="I568">
        <v>296.01</v>
      </c>
      <c r="J568" s="10">
        <v>45224</v>
      </c>
      <c r="K568" t="s">
        <v>100</v>
      </c>
      <c r="L568" s="1" t="s">
        <v>674</v>
      </c>
      <c r="M568" s="7" t="str">
        <f>IF(K568="收_客户",INDEX(客户信息维护!C:C,MATCH(银行日记账登记!L568,客户信息维护!B:B,0)),IF(K568="支_供应商",INDEX(供应商信息维护!C:C,MATCH(银行日记账登记!L568,供应商信息维护!B:B,0)),""))</f>
        <v>CORTECHINO JJZ S.L</v>
      </c>
      <c r="N568" t="s">
        <v>1933</v>
      </c>
      <c r="P568" t="s">
        <v>1934</v>
      </c>
      <c r="Q568" t="s">
        <v>79</v>
      </c>
      <c r="R568" t="s">
        <v>1939</v>
      </c>
    </row>
    <row r="569" spans="2:18" hidden="1" x14ac:dyDescent="0.25">
      <c r="B569" t="s">
        <v>56</v>
      </c>
      <c r="C569" t="s">
        <v>127</v>
      </c>
      <c r="I569">
        <v>318.43</v>
      </c>
      <c r="J569" s="10">
        <v>45224</v>
      </c>
      <c r="K569" t="s">
        <v>100</v>
      </c>
      <c r="L569" s="1" t="s">
        <v>527</v>
      </c>
      <c r="M569" s="7" t="str">
        <f>IF(K569="收_客户",INDEX(客户信息维护!C:C,MATCH(银行日记账登记!L569,客户信息维护!B:B,0)),IF(K569="支_供应商",INDEX(供应商信息维护!C:C,MATCH(银行日记账登记!L569,供应商信息维护!B:B,0)),""))</f>
        <v>EURO BAZAR JIN S.L</v>
      </c>
      <c r="N569" t="s">
        <v>1935</v>
      </c>
      <c r="P569" t="s">
        <v>1934</v>
      </c>
      <c r="Q569" t="s">
        <v>79</v>
      </c>
      <c r="R569" t="s">
        <v>1940</v>
      </c>
    </row>
    <row r="570" spans="2:18" hidden="1" x14ac:dyDescent="0.25">
      <c r="B570" t="s">
        <v>56</v>
      </c>
      <c r="C570" t="s">
        <v>63</v>
      </c>
      <c r="I570">
        <v>1763.26</v>
      </c>
      <c r="J570" s="10">
        <v>45224</v>
      </c>
      <c r="K570" t="s">
        <v>100</v>
      </c>
      <c r="L570" s="1" t="s">
        <v>1941</v>
      </c>
      <c r="M570" s="7" t="str">
        <f>IF(K570="收_客户",INDEX(客户信息维护!C:C,MATCH(银行日记账登记!L570,客户信息维护!B:B,0)),IF(K570="支_供应商",INDEX(供应商信息维护!C:C,MATCH(银行日记账登记!L570,供应商信息维护!B:B,0)),""))</f>
        <v>KARAMBOLA 888 S.L.U</v>
      </c>
      <c r="N570" t="s">
        <v>1943</v>
      </c>
      <c r="P570" t="s">
        <v>303</v>
      </c>
      <c r="Q570" t="s">
        <v>79</v>
      </c>
      <c r="R570" t="s">
        <v>1944</v>
      </c>
    </row>
    <row r="571" spans="2:18" hidden="1" x14ac:dyDescent="0.25">
      <c r="B571" t="s">
        <v>60</v>
      </c>
      <c r="C571" t="s">
        <v>66</v>
      </c>
      <c r="I571">
        <v>1168.18</v>
      </c>
      <c r="J571" s="10">
        <v>45224</v>
      </c>
      <c r="K571" t="s">
        <v>100</v>
      </c>
      <c r="L571" s="16" t="s">
        <v>1516</v>
      </c>
      <c r="M571" s="7" t="str">
        <f>IF(K571="收_客户",INDEX(客户信息维护!C:C,MATCH(银行日记账登记!L571,客户信息维护!B:B,0)),IF(K571="支_供应商",INDEX(供应商信息维护!C:C,MATCH(银行日记账登记!L571,供应商信息维护!B:B,0)),""))</f>
        <v>SHUANGYAN HUANG 黄双燕</v>
      </c>
      <c r="N571" t="s">
        <v>1945</v>
      </c>
      <c r="Q571" t="s">
        <v>79</v>
      </c>
      <c r="R571" t="s">
        <v>1946</v>
      </c>
    </row>
    <row r="572" spans="2:18" hidden="1" x14ac:dyDescent="0.25">
      <c r="B572" t="s">
        <v>56</v>
      </c>
      <c r="C572" t="s">
        <v>63</v>
      </c>
      <c r="I572">
        <v>457.53</v>
      </c>
      <c r="J572" s="10">
        <v>45224</v>
      </c>
      <c r="K572" t="s">
        <v>100</v>
      </c>
      <c r="L572" s="1" t="s">
        <v>1947</v>
      </c>
      <c r="M572" s="7" t="str">
        <f>IF(K572="收_客户",INDEX(客户信息维护!C:C,MATCH(银行日记账登记!L572,客户信息维护!B:B,0)),IF(K572="支_供应商",INDEX(供应商信息维护!C:C,MATCH(银行日记账登记!L572,供应商信息维护!B:B,0)),""))</f>
        <v>LIGUANG GUO</v>
      </c>
      <c r="N572" t="s">
        <v>1949</v>
      </c>
      <c r="Q572" t="s">
        <v>79</v>
      </c>
      <c r="R572" t="s">
        <v>1951</v>
      </c>
    </row>
    <row r="573" spans="2:18" hidden="1" x14ac:dyDescent="0.25">
      <c r="B573" t="s">
        <v>56</v>
      </c>
      <c r="C573" t="s">
        <v>63</v>
      </c>
      <c r="D573" s="15" t="s">
        <v>63</v>
      </c>
      <c r="I573">
        <v>416.16</v>
      </c>
      <c r="J573" s="10">
        <v>45224</v>
      </c>
      <c r="K573" t="s">
        <v>100</v>
      </c>
      <c r="L573" s="1" t="s">
        <v>1163</v>
      </c>
      <c r="M573" s="7" t="str">
        <f>IF(K573="收_客户",INDEX(客户信息维护!C:C,MATCH(银行日记账登记!L573,客户信息维护!B:B,0)),IF(K573="支_供应商",INDEX(供应商信息维护!C:C,MATCH(银行日记账登记!L573,供应商信息维护!B:B,0)),""))</f>
        <v>SONGWEI YANG</v>
      </c>
      <c r="N573" t="s">
        <v>1950</v>
      </c>
      <c r="Q573" t="s">
        <v>79</v>
      </c>
      <c r="R573" t="s">
        <v>1952</v>
      </c>
    </row>
    <row r="574" spans="2:18" hidden="1" x14ac:dyDescent="0.25">
      <c r="B574" t="s">
        <v>60</v>
      </c>
      <c r="C574" t="s">
        <v>66</v>
      </c>
      <c r="I574">
        <v>1493.41</v>
      </c>
      <c r="J574" s="10">
        <v>45224</v>
      </c>
      <c r="K574" t="s">
        <v>100</v>
      </c>
      <c r="L574" s="16" t="s">
        <v>779</v>
      </c>
      <c r="M574" s="7" t="str">
        <f>IF(K574="收_客户",INDEX(客户信息维护!C:C,MATCH(银行日记账登记!L574,客户信息维护!B:B,0)),IF(K574="支_供应商",INDEX(供应商信息维护!C:C,MATCH(银行日记账登记!L574,供应商信息维护!B:B,0)),""))</f>
        <v>LIWEI JIANG</v>
      </c>
      <c r="N574" t="s">
        <v>1953</v>
      </c>
      <c r="Q574" t="s">
        <v>79</v>
      </c>
      <c r="R574" t="s">
        <v>1954</v>
      </c>
    </row>
    <row r="575" spans="2:18" hidden="1" x14ac:dyDescent="0.25">
      <c r="B575" t="s">
        <v>56</v>
      </c>
      <c r="C575" t="s">
        <v>127</v>
      </c>
      <c r="I575">
        <v>1301.51</v>
      </c>
      <c r="J575" s="10">
        <v>45225</v>
      </c>
      <c r="K575" t="s">
        <v>100</v>
      </c>
      <c r="L575" s="1" t="s">
        <v>1955</v>
      </c>
      <c r="M575" s="7" t="str">
        <f>IF(K575="收_客户",INDEX(客户信息维护!C:C,MATCH(银行日记账登记!L575,客户信息维护!B:B,0)),IF(K575="支_供应商",INDEX(供应商信息维护!C:C,MATCH(银行日记账登记!L575,供应商信息维护!B:B,0)),""))</f>
        <v>JUNLI YE</v>
      </c>
      <c r="N575" t="s">
        <v>1957</v>
      </c>
      <c r="Q575" t="s">
        <v>79</v>
      </c>
      <c r="R575" t="s">
        <v>1958</v>
      </c>
    </row>
    <row r="576" spans="2:18" hidden="1" x14ac:dyDescent="0.25">
      <c r="B576" t="s">
        <v>56</v>
      </c>
      <c r="C576" t="s">
        <v>63</v>
      </c>
      <c r="I576">
        <v>1689.2</v>
      </c>
      <c r="J576" s="10">
        <v>45225</v>
      </c>
      <c r="K576" t="s">
        <v>100</v>
      </c>
      <c r="L576" s="1" t="s">
        <v>1959</v>
      </c>
      <c r="M576" s="7" t="str">
        <f>IF(K576="收_客户",INDEX(客户信息维护!C:C,MATCH(银行日记账登记!L576,客户信息维护!B:B,0)),IF(K576="支_供应商",INDEX(供应商信息维护!C:C,MATCH(银行日记账登记!L576,供应商信息维护!B:B,0)),""))</f>
        <v>MULTICENTRO CHEN S.L</v>
      </c>
      <c r="N576" t="s">
        <v>1961</v>
      </c>
      <c r="Q576" t="s">
        <v>79</v>
      </c>
      <c r="R576" t="s">
        <v>1962</v>
      </c>
    </row>
    <row r="577" spans="2:18" hidden="1" x14ac:dyDescent="0.25">
      <c r="B577" t="s">
        <v>56</v>
      </c>
      <c r="C577" t="s">
        <v>127</v>
      </c>
      <c r="I577">
        <v>1106.44</v>
      </c>
      <c r="J577" s="10">
        <v>45226</v>
      </c>
      <c r="K577" t="s">
        <v>100</v>
      </c>
      <c r="L577" s="1" t="s">
        <v>313</v>
      </c>
      <c r="M577" s="7" t="str">
        <f>IF(K577="收_客户",INDEX(客户信息维护!C:C,MATCH(银行日记账登记!L577,客户信息维护!B:B,0)),IF(K577="支_供应商",INDEX(供应商信息维护!C:C,MATCH(银行日记账登记!L577,供应商信息维护!B:B,0)),""))</f>
        <v>MUNDOMAXI SL</v>
      </c>
      <c r="N577" t="s">
        <v>1963</v>
      </c>
      <c r="Q577" t="s">
        <v>79</v>
      </c>
      <c r="R577" t="s">
        <v>1968</v>
      </c>
    </row>
    <row r="578" spans="2:18" hidden="1" x14ac:dyDescent="0.25">
      <c r="B578" t="s">
        <v>56</v>
      </c>
      <c r="C578" t="s">
        <v>127</v>
      </c>
      <c r="I578">
        <v>431.11</v>
      </c>
      <c r="J578" s="10">
        <v>45226</v>
      </c>
      <c r="K578" t="s">
        <v>100</v>
      </c>
      <c r="L578" s="1" t="s">
        <v>400</v>
      </c>
      <c r="M578" s="7" t="str">
        <f>IF(K578="收_客户",INDEX(客户信息维护!C:C,MATCH(银行日记账登记!L578,客户信息维护!B:B,0)),IF(K578="支_供应商",INDEX(供应商信息维护!C:C,MATCH(银行日记账登记!L578,供应商信息维护!B:B,0)),""))</f>
        <v>HONGQIN WEI</v>
      </c>
      <c r="N578" t="s">
        <v>1964</v>
      </c>
      <c r="Q578" t="s">
        <v>79</v>
      </c>
      <c r="R578" t="s">
        <v>1969</v>
      </c>
    </row>
    <row r="579" spans="2:18" hidden="1" x14ac:dyDescent="0.25">
      <c r="B579" t="s">
        <v>56</v>
      </c>
      <c r="C579" t="s">
        <v>127</v>
      </c>
      <c r="I579">
        <v>222.99</v>
      </c>
      <c r="J579" s="10">
        <v>45226</v>
      </c>
      <c r="K579" t="s">
        <v>100</v>
      </c>
      <c r="L579" s="1" t="s">
        <v>1965</v>
      </c>
      <c r="M579" s="7" t="str">
        <f>IF(K579="收_客户",INDEX(客户信息维护!C:C,MATCH(银行日记账登记!L579,客户信息维护!B:B,0)),IF(K579="支_供应商",INDEX(供应商信息维护!C:C,MATCH(银行日记账登记!L579,供应商信息维护!B:B,0)),""))</f>
        <v>W2M CORPORATE S.L</v>
      </c>
      <c r="N579" t="s">
        <v>1967</v>
      </c>
      <c r="Q579" t="s">
        <v>79</v>
      </c>
      <c r="R579" t="s">
        <v>1970</v>
      </c>
    </row>
    <row r="580" spans="2:18" hidden="1" x14ac:dyDescent="0.25">
      <c r="B580" t="s">
        <v>56</v>
      </c>
      <c r="C580" t="s">
        <v>63</v>
      </c>
      <c r="I580">
        <v>1821.75</v>
      </c>
      <c r="J580" s="10">
        <v>45226</v>
      </c>
      <c r="K580" t="s">
        <v>100</v>
      </c>
      <c r="L580" s="1" t="s">
        <v>377</v>
      </c>
      <c r="M580" s="7" t="str">
        <f>IF(K580="收_客户",INDEX(客户信息维护!C:C,MATCH(银行日记账登记!L580,客户信息维护!B:B,0)),IF(K580="支_供应商",INDEX(供应商信息维护!C:C,MATCH(银行日记账登记!L580,供应商信息维护!B:B,0)),""))</f>
        <v>RED COOL S.L</v>
      </c>
      <c r="N580" t="s">
        <v>1971</v>
      </c>
      <c r="P580" t="s">
        <v>303</v>
      </c>
      <c r="Q580" t="s">
        <v>79</v>
      </c>
      <c r="R580" t="s">
        <v>1972</v>
      </c>
    </row>
    <row r="581" spans="2:18" hidden="1" x14ac:dyDescent="0.25">
      <c r="B581" t="s">
        <v>56</v>
      </c>
      <c r="C581" t="s">
        <v>127</v>
      </c>
      <c r="I581">
        <v>357.54</v>
      </c>
      <c r="J581" s="10">
        <v>45226</v>
      </c>
      <c r="K581" t="s">
        <v>100</v>
      </c>
      <c r="L581" s="1" t="s">
        <v>1330</v>
      </c>
      <c r="M581" s="7" t="str">
        <f>IF(K581="收_客户",INDEX(客户信息维护!C:C,MATCH(银行日记账登记!L581,客户信息维护!B:B,0)),IF(K581="支_供应商",INDEX(供应商信息维护!C:C,MATCH(银行日记账登记!L581,供应商信息维护!B:B,0)),""))</f>
        <v>IUNTECH GALICIA S.L 齐力分公司</v>
      </c>
      <c r="N581" t="s">
        <v>1973</v>
      </c>
      <c r="Q581" t="s">
        <v>79</v>
      </c>
      <c r="R581" t="s">
        <v>1977</v>
      </c>
    </row>
    <row r="582" spans="2:18" hidden="1" x14ac:dyDescent="0.25">
      <c r="B582" t="s">
        <v>56</v>
      </c>
      <c r="C582" t="s">
        <v>127</v>
      </c>
      <c r="I582">
        <v>994.69</v>
      </c>
      <c r="J582" s="10">
        <v>45226</v>
      </c>
      <c r="K582" t="s">
        <v>100</v>
      </c>
      <c r="L582" s="1" t="s">
        <v>1227</v>
      </c>
      <c r="M582" s="7" t="str">
        <f>IF(K582="收_客户",INDEX(客户信息维护!C:C,MATCH(银行日记账登记!L582,客户信息维护!B:B,0)),IF(K582="支_供应商",INDEX(供应商信息维护!C:C,MATCH(银行日记账登记!L582,供应商信息维护!B:B,0)),""))</f>
        <v>ZHONGJIE CHENG</v>
      </c>
      <c r="N582" t="s">
        <v>1974</v>
      </c>
      <c r="Q582" t="s">
        <v>79</v>
      </c>
      <c r="R582" t="s">
        <v>1978</v>
      </c>
    </row>
    <row r="583" spans="2:18" hidden="1" x14ac:dyDescent="0.25">
      <c r="B583" t="s">
        <v>56</v>
      </c>
      <c r="C583" t="s">
        <v>127</v>
      </c>
      <c r="I583">
        <v>541.65</v>
      </c>
      <c r="J583" s="10">
        <v>45226</v>
      </c>
      <c r="K583" t="s">
        <v>100</v>
      </c>
      <c r="L583" s="1" t="s">
        <v>1407</v>
      </c>
      <c r="M583" s="7" t="str">
        <f>IF(K583="收_客户",INDEX(客户信息维护!C:C,MATCH(银行日记账登记!L583,客户信息维护!B:B,0)),IF(K583="支_供应商",INDEX(供应商信息维护!C:C,MATCH(银行日记账登记!L583,供应商信息维护!B:B,0)),""))</f>
        <v>CHENGXIN ZHANG</v>
      </c>
      <c r="N583" t="s">
        <v>1975</v>
      </c>
      <c r="Q583" t="s">
        <v>79</v>
      </c>
      <c r="R583" t="s">
        <v>1979</v>
      </c>
    </row>
    <row r="584" spans="2:18" hidden="1" x14ac:dyDescent="0.25">
      <c r="B584" t="s">
        <v>56</v>
      </c>
      <c r="C584" t="s">
        <v>127</v>
      </c>
      <c r="I584">
        <v>783.4</v>
      </c>
      <c r="J584" s="10">
        <v>45226</v>
      </c>
      <c r="K584" t="s">
        <v>100</v>
      </c>
      <c r="L584" s="1" t="s">
        <v>1407</v>
      </c>
      <c r="M584" s="7" t="str">
        <f>IF(K584="收_客户",INDEX(客户信息维护!C:C,MATCH(银行日记账登记!L584,客户信息维护!B:B,0)),IF(K584="支_供应商",INDEX(供应商信息维护!C:C,MATCH(银行日记账登记!L584,供应商信息维护!B:B,0)),""))</f>
        <v>CHENGXIN ZHANG</v>
      </c>
      <c r="N584" t="s">
        <v>1976</v>
      </c>
      <c r="Q584" t="s">
        <v>79</v>
      </c>
      <c r="R584" t="s">
        <v>1980</v>
      </c>
    </row>
    <row r="585" spans="2:18" hidden="1" x14ac:dyDescent="0.25">
      <c r="B585" t="s">
        <v>56</v>
      </c>
      <c r="C585" t="s">
        <v>63</v>
      </c>
      <c r="I585">
        <v>644.92999999999995</v>
      </c>
      <c r="J585" s="10">
        <v>45226</v>
      </c>
      <c r="K585" t="s">
        <v>100</v>
      </c>
      <c r="L585" s="1" t="s">
        <v>856</v>
      </c>
      <c r="M585" s="7" t="str">
        <f>IF(K585="收_客户",INDEX(客户信息维护!C:C,MATCH(银行日记账登记!L585,客户信息维护!B:B,0)),IF(K585="支_供应商",INDEX(供应商信息维护!C:C,MATCH(银行日记账登记!L585,供应商信息维护!B:B,0)),""))</f>
        <v>MANBAR DECORA S.L</v>
      </c>
      <c r="N585" t="s">
        <v>1981</v>
      </c>
      <c r="Q585" t="s">
        <v>79</v>
      </c>
      <c r="R585" t="s">
        <v>1989</v>
      </c>
    </row>
    <row r="586" spans="2:18" hidden="1" x14ac:dyDescent="0.25">
      <c r="B586" t="s">
        <v>56</v>
      </c>
      <c r="C586" t="s">
        <v>63</v>
      </c>
      <c r="I586">
        <v>3001.01</v>
      </c>
      <c r="J586" s="10">
        <v>45226</v>
      </c>
      <c r="K586" t="s">
        <v>100</v>
      </c>
      <c r="L586" s="1" t="s">
        <v>1982</v>
      </c>
      <c r="M586" s="7" t="str">
        <f>IF(K586="收_客户",INDEX(客户信息维护!C:C,MATCH(银行日记账登记!L586,客户信息维护!B:B,0)),IF(K586="支_供应商",INDEX(供应商信息维护!C:C,MATCH(银行日记账登记!L586,供应商信息维护!B:B,0)),""))</f>
        <v>ASIA NUMERO 1 S.L</v>
      </c>
      <c r="N586" t="s">
        <v>1984</v>
      </c>
      <c r="Q586" t="s">
        <v>79</v>
      </c>
      <c r="R586" t="s">
        <v>1990</v>
      </c>
    </row>
    <row r="587" spans="2:18" hidden="1" x14ac:dyDescent="0.25">
      <c r="B587" t="s">
        <v>56</v>
      </c>
      <c r="C587" t="s">
        <v>63</v>
      </c>
      <c r="I587">
        <v>3419.2</v>
      </c>
      <c r="J587" s="10">
        <v>45229</v>
      </c>
      <c r="K587" t="s">
        <v>100</v>
      </c>
      <c r="L587" s="1" t="s">
        <v>1985</v>
      </c>
      <c r="M587" s="7" t="str">
        <f>IF(K587="收_客户",INDEX(客户信息维护!C:C,MATCH(银行日记账登记!L587,客户信息维护!B:B,0)),IF(K587="支_供应商",INDEX(供应商信息维护!C:C,MATCH(银行日记账登记!L587,供应商信息维护!B:B,0)),""))</f>
        <v>NUSINTE,SOCIEDAD LIMITADA</v>
      </c>
      <c r="N587" t="s">
        <v>1987</v>
      </c>
      <c r="Q587" t="s">
        <v>79</v>
      </c>
      <c r="R587" t="s">
        <v>1991</v>
      </c>
    </row>
    <row r="588" spans="2:18" hidden="1" x14ac:dyDescent="0.25">
      <c r="B588" t="s">
        <v>56</v>
      </c>
      <c r="C588" t="s">
        <v>63</v>
      </c>
      <c r="I588">
        <v>501.41</v>
      </c>
      <c r="J588" s="10">
        <v>45229</v>
      </c>
      <c r="K588" t="s">
        <v>100</v>
      </c>
      <c r="L588" s="1" t="s">
        <v>862</v>
      </c>
      <c r="M588" s="7" t="str">
        <f>IF(K588="收_客户",INDEX(客户信息维护!C:C,MATCH(银行日记账登记!L588,客户信息维护!B:B,0)),IF(K588="支_供应商",INDEX(供应商信息维护!C:C,MATCH(银行日记账登记!L588,供应商信息维护!B:B,0)),""))</f>
        <v>CHAOQUN DU</v>
      </c>
      <c r="N588" t="s">
        <v>1988</v>
      </c>
      <c r="Q588" t="s">
        <v>79</v>
      </c>
      <c r="R588" t="s">
        <v>1992</v>
      </c>
    </row>
    <row r="589" spans="2:18" hidden="1" x14ac:dyDescent="0.25">
      <c r="B589" t="s">
        <v>60</v>
      </c>
      <c r="C589" t="s">
        <v>66</v>
      </c>
      <c r="I589">
        <v>896.72</v>
      </c>
      <c r="J589" s="10">
        <v>45229</v>
      </c>
      <c r="K589" t="s">
        <v>100</v>
      </c>
      <c r="L589" s="16" t="s">
        <v>178</v>
      </c>
      <c r="M589" s="7" t="str">
        <f>IF(K589="收_客户",INDEX(客户信息维护!C:C,MATCH(银行日记账登记!L589,客户信息维护!B:B,0)),IF(K589="支_供应商",INDEX(供应商信息维护!C:C,MATCH(银行日记账登记!L589,供应商信息维护!B:B,0)),""))</f>
        <v>NEWAX UNIVERSAL TRADE UNIPESSOAL LDA 杨建华</v>
      </c>
      <c r="N589" t="s">
        <v>1993</v>
      </c>
      <c r="Q589" t="s">
        <v>79</v>
      </c>
      <c r="R589" t="s">
        <v>1994</v>
      </c>
    </row>
    <row r="590" spans="2:18" hidden="1" x14ac:dyDescent="0.25">
      <c r="B590" t="s">
        <v>56</v>
      </c>
      <c r="C590" t="s">
        <v>127</v>
      </c>
      <c r="I590">
        <v>546.12</v>
      </c>
      <c r="J590" s="10">
        <v>45229</v>
      </c>
      <c r="K590" t="s">
        <v>100</v>
      </c>
      <c r="L590" s="1" t="s">
        <v>1066</v>
      </c>
      <c r="M590" s="7" t="str">
        <f>IF(K590="收_客户",INDEX(客户信息维护!C:C,MATCH(银行日记账登记!L590,客户信息维护!B:B,0)),IF(K590="支_供应商",INDEX(供应商信息维护!C:C,MATCH(银行日记账登记!L590,供应商信息维护!B:B,0)),""))</f>
        <v>JUNJUN JIN</v>
      </c>
      <c r="N590" t="s">
        <v>1995</v>
      </c>
      <c r="Q590" t="s">
        <v>79</v>
      </c>
      <c r="R590" t="s">
        <v>2004</v>
      </c>
    </row>
    <row r="591" spans="2:18" hidden="1" x14ac:dyDescent="0.25">
      <c r="B591" t="s">
        <v>56</v>
      </c>
      <c r="C591" t="s">
        <v>127</v>
      </c>
      <c r="I591">
        <v>2605.19</v>
      </c>
      <c r="J591" s="10">
        <v>45229</v>
      </c>
      <c r="K591" t="s">
        <v>100</v>
      </c>
      <c r="L591" s="1" t="s">
        <v>1996</v>
      </c>
      <c r="M591" s="7" t="str">
        <f>IF(K591="收_客户",INDEX(客户信息维护!C:C,MATCH(银行日记账登记!L591,客户信息维护!B:B,0)),IF(K591="支_供应商",INDEX(供应商信息维护!C:C,MATCH(银行日记账登记!L591,供应商信息维护!B:B,0)),""))</f>
        <v>COUSINESHOP 2019 S.L</v>
      </c>
      <c r="N591" t="s">
        <v>1997</v>
      </c>
      <c r="Q591" t="s">
        <v>79</v>
      </c>
      <c r="R591" t="s">
        <v>2005</v>
      </c>
    </row>
    <row r="592" spans="2:18" hidden="1" x14ac:dyDescent="0.25">
      <c r="B592" t="s">
        <v>56</v>
      </c>
      <c r="C592" t="s">
        <v>127</v>
      </c>
      <c r="I592">
        <v>1992.7</v>
      </c>
      <c r="J592" s="10">
        <v>45230</v>
      </c>
      <c r="K592" t="s">
        <v>100</v>
      </c>
      <c r="L592" s="1" t="s">
        <v>650</v>
      </c>
      <c r="M592" s="7" t="str">
        <f>IF(K592="收_客户",INDEX(客户信息维护!C:C,MATCH(银行日记账登记!L592,客户信息维护!B:B,0)),IF(K592="支_供应商",INDEX(供应商信息维护!C:C,MATCH(银行日记账登记!L592,供应商信息维护!B:B,0)),""))</f>
        <v>JIA SHUN HE XIANG S.L</v>
      </c>
      <c r="N592" t="s">
        <v>1998</v>
      </c>
      <c r="Q592" t="s">
        <v>79</v>
      </c>
      <c r="R592" t="s">
        <v>2006</v>
      </c>
    </row>
    <row r="593" spans="2:18" hidden="1" x14ac:dyDescent="0.25">
      <c r="B593" t="s">
        <v>56</v>
      </c>
      <c r="C593" t="s">
        <v>127</v>
      </c>
      <c r="I593">
        <v>710.1</v>
      </c>
      <c r="J593" s="10">
        <v>45230</v>
      </c>
      <c r="K593" t="s">
        <v>100</v>
      </c>
      <c r="L593" s="1" t="s">
        <v>497</v>
      </c>
      <c r="M593" s="7" t="str">
        <f>IF(K593="收_客户",INDEX(客户信息维护!C:C,MATCH(银行日记账登记!L593,客户信息维护!B:B,0)),IF(K593="支_供应商",INDEX(供应商信息维护!C:C,MATCH(银行日记账登记!L593,供应商信息维护!B:B,0)),""))</f>
        <v>LIYONG SHAN</v>
      </c>
      <c r="N593" t="s">
        <v>1999</v>
      </c>
      <c r="Q593" t="s">
        <v>79</v>
      </c>
      <c r="R593" t="s">
        <v>2007</v>
      </c>
    </row>
    <row r="594" spans="2:18" hidden="1" x14ac:dyDescent="0.25">
      <c r="B594" t="s">
        <v>56</v>
      </c>
      <c r="C594" t="s">
        <v>127</v>
      </c>
      <c r="I594">
        <v>139.91</v>
      </c>
      <c r="J594" s="10">
        <v>45230</v>
      </c>
      <c r="K594" t="s">
        <v>100</v>
      </c>
      <c r="L594" s="1" t="s">
        <v>2000</v>
      </c>
      <c r="M594" s="7" t="str">
        <f>IF(K594="收_客户",INDEX(客户信息维护!C:C,MATCH(银行日记账登记!L594,客户信息维护!B:B,0)),IF(K594="支_供应商",INDEX(供应商信息维护!C:C,MATCH(银行日记账登记!L594,供应商信息维护!B:B,0)),""))</f>
        <v>SHAOXING CHEN</v>
      </c>
      <c r="N594" t="s">
        <v>2002</v>
      </c>
      <c r="Q594" t="s">
        <v>79</v>
      </c>
      <c r="R594" t="s">
        <v>2008</v>
      </c>
    </row>
    <row r="595" spans="2:18" hidden="1" x14ac:dyDescent="0.25">
      <c r="B595" t="s">
        <v>56</v>
      </c>
      <c r="C595" t="s">
        <v>127</v>
      </c>
      <c r="I595">
        <v>1071.1500000000001</v>
      </c>
      <c r="J595" s="10">
        <v>45230</v>
      </c>
      <c r="K595" t="s">
        <v>100</v>
      </c>
      <c r="L595" s="1" t="s">
        <v>567</v>
      </c>
      <c r="M595" s="7" t="str">
        <f>IF(K595="收_客户",INDEX(客户信息维护!C:C,MATCH(银行日记账登记!L595,客户信息维护!B:B,0)),IF(K595="支_供应商",INDEX(供应商信息维护!C:C,MATCH(银行日记账登记!L595,供应商信息维护!B:B,0)),""))</f>
        <v>ASIAN GARDEN SECRET S.L</v>
      </c>
      <c r="N595" t="s">
        <v>2003</v>
      </c>
      <c r="Q595" t="s">
        <v>79</v>
      </c>
      <c r="R595" t="s">
        <v>2009</v>
      </c>
    </row>
    <row r="596" spans="2:18" hidden="1" x14ac:dyDescent="0.25">
      <c r="B596" t="s">
        <v>56</v>
      </c>
      <c r="C596" t="s">
        <v>63</v>
      </c>
      <c r="I596">
        <v>2246.63</v>
      </c>
      <c r="J596" s="10">
        <v>45229</v>
      </c>
      <c r="K596" t="s">
        <v>100</v>
      </c>
      <c r="L596" s="1" t="s">
        <v>479</v>
      </c>
      <c r="M596" s="7" t="str">
        <f>IF(K596="收_客户",INDEX(客户信息维护!C:C,MATCH(银行日记账登记!L596,客户信息维护!B:B,0)),IF(K596="支_供应商",INDEX(供应商信息维护!C:C,MATCH(银行日记账登记!L596,供应商信息维护!B:B,0)),""))</f>
        <v>COUSINESHOP 2019 S.L</v>
      </c>
      <c r="N596" t="s">
        <v>2010</v>
      </c>
      <c r="Q596" t="s">
        <v>79</v>
      </c>
      <c r="R596" t="s">
        <v>2017</v>
      </c>
    </row>
    <row r="597" spans="2:18" hidden="1" x14ac:dyDescent="0.25">
      <c r="B597" t="s">
        <v>56</v>
      </c>
      <c r="C597" t="s">
        <v>63</v>
      </c>
      <c r="I597">
        <v>2827</v>
      </c>
      <c r="J597" s="10">
        <v>45229</v>
      </c>
      <c r="K597" t="s">
        <v>100</v>
      </c>
      <c r="L597" s="1" t="s">
        <v>1208</v>
      </c>
      <c r="M597" s="7" t="str">
        <f>IF(K597="收_客户",INDEX(客户信息维护!C:C,MATCH(银行日记账登记!L597,客户信息维护!B:B,0)),IF(K597="支_供应商",INDEX(供应商信息维护!C:C,MATCH(银行日记账登记!L597,供应商信息维护!B:B,0)),""))</f>
        <v>CASH HOGAR CANARIAS S.L</v>
      </c>
      <c r="N597" t="s">
        <v>2011</v>
      </c>
      <c r="Q597" t="s">
        <v>79</v>
      </c>
      <c r="R597" t="s">
        <v>2018</v>
      </c>
    </row>
    <row r="598" spans="2:18" hidden="1" x14ac:dyDescent="0.25">
      <c r="B598" t="s">
        <v>56</v>
      </c>
      <c r="C598" t="s">
        <v>63</v>
      </c>
      <c r="I598">
        <v>1054.3</v>
      </c>
      <c r="J598" s="10">
        <v>45230</v>
      </c>
      <c r="K598" t="s">
        <v>100</v>
      </c>
      <c r="L598" s="1" t="s">
        <v>740</v>
      </c>
      <c r="M598" s="7" t="str">
        <f>IF(K598="收_客户",INDEX(客户信息维护!C:C,MATCH(银行日记账登记!L598,客户信息维护!B:B,0)),IF(K598="支_供应商",INDEX(供应商信息维护!C:C,MATCH(银行日记账登记!L598,供应商信息维护!B:B,0)),""))</f>
        <v>NOU MAXI SARRIA DE TER S.L.</v>
      </c>
      <c r="N598" t="s">
        <v>2012</v>
      </c>
      <c r="P598" t="s">
        <v>303</v>
      </c>
      <c r="Q598" t="s">
        <v>79</v>
      </c>
      <c r="R598" t="s">
        <v>2019</v>
      </c>
    </row>
    <row r="599" spans="2:18" hidden="1" x14ac:dyDescent="0.25">
      <c r="B599" t="s">
        <v>56</v>
      </c>
      <c r="C599" t="s">
        <v>63</v>
      </c>
      <c r="I599">
        <v>668.87</v>
      </c>
      <c r="J599" s="10">
        <v>45230</v>
      </c>
      <c r="K599" t="s">
        <v>100</v>
      </c>
      <c r="L599" s="1" t="s">
        <v>2013</v>
      </c>
      <c r="M599" s="7" t="str">
        <f>IF(K599="收_客户",INDEX(客户信息维护!C:C,MATCH(银行日记账登记!L599,客户信息维护!B:B,0)),IF(K599="支_供应商",INDEX(供应商信息维护!C:C,MATCH(银行日记账登记!L599,供应商信息维护!B:B,0)),""))</f>
        <v>VIRTUE UCCA S.L</v>
      </c>
      <c r="N599" t="s">
        <v>2015</v>
      </c>
      <c r="P599" t="s">
        <v>303</v>
      </c>
      <c r="Q599" t="s">
        <v>79</v>
      </c>
      <c r="R599" t="s">
        <v>2020</v>
      </c>
    </row>
    <row r="600" spans="2:18" hidden="1" x14ac:dyDescent="0.25">
      <c r="B600" t="s">
        <v>56</v>
      </c>
      <c r="C600" t="s">
        <v>63</v>
      </c>
      <c r="I600">
        <v>288.79000000000002</v>
      </c>
      <c r="J600" s="10">
        <v>45230</v>
      </c>
      <c r="K600" t="s">
        <v>100</v>
      </c>
      <c r="L600" s="1" t="s">
        <v>806</v>
      </c>
      <c r="M600" s="7" t="str">
        <f>IF(K600="收_客户",INDEX(客户信息维护!C:C,MATCH(银行日记账登记!L600,客户信息维护!B:B,0)),IF(K600="支_供应商",INDEX(供应商信息维护!C:C,MATCH(银行日记账登记!L600,供应商信息维护!B:B,0)),""))</f>
        <v>COMERCIALIZACIONES DIAMANTE S.L</v>
      </c>
      <c r="N600" t="s">
        <v>2016</v>
      </c>
      <c r="Q600" t="s">
        <v>79</v>
      </c>
      <c r="R600" t="s">
        <v>2021</v>
      </c>
    </row>
    <row r="601" spans="2:18" hidden="1" x14ac:dyDescent="0.25">
      <c r="B601" t="s">
        <v>60</v>
      </c>
      <c r="C601" t="s">
        <v>66</v>
      </c>
      <c r="I601">
        <v>10426.58</v>
      </c>
      <c r="J601" s="10">
        <v>45229</v>
      </c>
      <c r="K601" t="s">
        <v>100</v>
      </c>
      <c r="L601" s="16" t="s">
        <v>186</v>
      </c>
      <c r="M601" s="7" t="str">
        <f>IF(K601="收_客户",INDEX(客户信息维护!C:C,MATCH(银行日记账登记!L601,客户信息维护!B:B,0)),IF(K601="支_供应商",INDEX(供应商信息维护!C:C,MATCH(银行日记账登记!L601,供应商信息维护!B:B,0)),""))</f>
        <v>ORIENTE PERFEITO LDA  戴海亮</v>
      </c>
      <c r="N601" t="s">
        <v>2022</v>
      </c>
      <c r="P601" t="s">
        <v>303</v>
      </c>
      <c r="Q601" t="s">
        <v>79</v>
      </c>
      <c r="R601" t="s">
        <v>2037</v>
      </c>
    </row>
    <row r="602" spans="2:18" hidden="1" x14ac:dyDescent="0.25">
      <c r="B602" t="s">
        <v>60</v>
      </c>
      <c r="C602" t="s">
        <v>66</v>
      </c>
      <c r="H602" s="45"/>
      <c r="I602">
        <v>6489.55</v>
      </c>
      <c r="J602" s="10">
        <v>45229</v>
      </c>
      <c r="K602" t="s">
        <v>100</v>
      </c>
      <c r="L602" s="16" t="s">
        <v>2023</v>
      </c>
      <c r="M602" s="7" t="str">
        <f>IF(K602="收_客户",INDEX(客户信息维护!C:C,MATCH(银行日记账登记!L602,客户信息维护!B:B,0)),IF(K602="支_供应商",INDEX(供应商信息维护!C:C,MATCH(银行日记账登记!L602,供应商信息维护!B:B,0)),""))</f>
        <v>CURIOSO E JANOTA LDA 程阿杰</v>
      </c>
      <c r="N602" t="s">
        <v>2025</v>
      </c>
      <c r="P602" t="s">
        <v>303</v>
      </c>
      <c r="Q602" t="s">
        <v>79</v>
      </c>
      <c r="R602" t="s">
        <v>2038</v>
      </c>
    </row>
    <row r="603" spans="2:18" hidden="1" x14ac:dyDescent="0.25">
      <c r="B603" t="s">
        <v>60</v>
      </c>
      <c r="C603" t="s">
        <v>66</v>
      </c>
      <c r="H603" s="45"/>
      <c r="I603">
        <v>2147.66</v>
      </c>
      <c r="J603" s="10">
        <v>45229</v>
      </c>
      <c r="K603" t="s">
        <v>100</v>
      </c>
      <c r="L603" s="16" t="s">
        <v>2026</v>
      </c>
      <c r="M603" s="7" t="str">
        <f>IF(K603="收_客户",INDEX(客户信息维护!C:C,MATCH(银行日记账登记!L603,客户信息维护!B:B,0)),IF(K603="支_供应商",INDEX(供应商信息维护!C:C,MATCH(银行日记账登记!L603,供应商信息维护!B:B,0)),""))</f>
        <v>NUVEM PRATEADA LDA 范小军</v>
      </c>
      <c r="N603" t="s">
        <v>2028</v>
      </c>
      <c r="P603" t="s">
        <v>303</v>
      </c>
      <c r="Q603" t="s">
        <v>79</v>
      </c>
      <c r="R603" t="s">
        <v>2039</v>
      </c>
    </row>
    <row r="604" spans="2:18" hidden="1" x14ac:dyDescent="0.25">
      <c r="B604" t="s">
        <v>60</v>
      </c>
      <c r="C604" t="s">
        <v>66</v>
      </c>
      <c r="H604" s="45"/>
      <c r="I604">
        <v>1102.8</v>
      </c>
      <c r="J604" s="10">
        <v>45229</v>
      </c>
      <c r="K604" t="s">
        <v>100</v>
      </c>
      <c r="L604" s="16" t="s">
        <v>2029</v>
      </c>
      <c r="M604" s="7" t="str">
        <f>IF(K604="收_客户",INDEX(客户信息维护!C:C,MATCH(银行日记账登记!L604,客户信息维护!B:B,0)),IF(K604="支_供应商",INDEX(供应商信息维护!C:C,MATCH(银行日记账登记!L604,供应商信息维护!B:B,0)),""))</f>
        <v>SHUANGJIE YE LDA 叶双杰</v>
      </c>
      <c r="N604" t="s">
        <v>2031</v>
      </c>
      <c r="P604" t="s">
        <v>303</v>
      </c>
      <c r="Q604" t="s">
        <v>79</v>
      </c>
      <c r="R604" t="s">
        <v>2040</v>
      </c>
    </row>
    <row r="605" spans="2:18" hidden="1" x14ac:dyDescent="0.25">
      <c r="B605" t="s">
        <v>60</v>
      </c>
      <c r="C605" t="s">
        <v>66</v>
      </c>
      <c r="H605" s="45"/>
      <c r="I605">
        <v>1423.5</v>
      </c>
      <c r="J605" s="10">
        <v>45229</v>
      </c>
      <c r="K605" t="s">
        <v>100</v>
      </c>
      <c r="L605" s="16" t="s">
        <v>2032</v>
      </c>
      <c r="M605" s="7" t="str">
        <f>IF(K605="收_客户",INDEX(客户信息维护!C:C,MATCH(银行日记账登记!L605,客户信息维护!B:B,0)),IF(K605="支_供应商",INDEX(供应商信息维护!C:C,MATCH(银行日记账登记!L605,供应商信息维护!B:B,0)),""))</f>
        <v>XIAOXIONG ZHU 朱小雄</v>
      </c>
      <c r="N605" t="s">
        <v>2034</v>
      </c>
      <c r="P605" t="s">
        <v>303</v>
      </c>
      <c r="Q605" t="s">
        <v>79</v>
      </c>
      <c r="R605" t="s">
        <v>2041</v>
      </c>
    </row>
    <row r="606" spans="2:18" hidden="1" x14ac:dyDescent="0.25">
      <c r="B606" t="s">
        <v>60</v>
      </c>
      <c r="C606" t="s">
        <v>66</v>
      </c>
      <c r="H606" s="45"/>
      <c r="I606">
        <v>2880.85</v>
      </c>
      <c r="J606" s="10">
        <v>45229</v>
      </c>
      <c r="K606" t="s">
        <v>100</v>
      </c>
      <c r="L606" s="16" t="s">
        <v>958</v>
      </c>
      <c r="M606" s="7" t="str">
        <f>IF(K606="收_客户",INDEX(客户信息维护!C:C,MATCH(银行日记账登记!L606,客户信息维护!B:B,0)),IF(K606="支_供应商",INDEX(供应商信息维护!C:C,MATCH(银行日记账登记!L606,供应商信息维护!B:B,0)),""))</f>
        <v>SURPRESAS E AVENTURAS LDA 小峰</v>
      </c>
      <c r="N606" t="s">
        <v>2035</v>
      </c>
      <c r="P606" t="s">
        <v>303</v>
      </c>
      <c r="Q606" t="s">
        <v>79</v>
      </c>
      <c r="R606" t="s">
        <v>2042</v>
      </c>
    </row>
    <row r="607" spans="2:18" hidden="1" x14ac:dyDescent="0.25">
      <c r="B607" t="s">
        <v>60</v>
      </c>
      <c r="C607" t="s">
        <v>66</v>
      </c>
      <c r="H607" s="45"/>
      <c r="I607">
        <v>476.6</v>
      </c>
      <c r="J607" s="10">
        <v>45229</v>
      </c>
      <c r="K607" t="s">
        <v>100</v>
      </c>
      <c r="L607" s="16" t="s">
        <v>1559</v>
      </c>
      <c r="M607" s="7" t="str">
        <f>IF(K607="收_客户",INDEX(客户信息维护!C:C,MATCH(银行日记账登记!L607,客户信息维护!B:B,0)),IF(K607="支_供应商",INDEX(供应商信息维护!C:C,MATCH(银行日记账登记!L607,供应商信息维护!B:B,0)),""))</f>
        <v>MAO &amp; QIN IMPORTACAO E EXPORTACAO LDA 秦峰</v>
      </c>
      <c r="N607" t="s">
        <v>2036</v>
      </c>
      <c r="P607" t="s">
        <v>303</v>
      </c>
      <c r="Q607" t="s">
        <v>79</v>
      </c>
      <c r="R607" t="s">
        <v>2043</v>
      </c>
    </row>
    <row r="608" spans="2:18" hidden="1" x14ac:dyDescent="0.25">
      <c r="B608" t="s">
        <v>60</v>
      </c>
      <c r="C608" t="s">
        <v>66</v>
      </c>
      <c r="H608" s="45"/>
      <c r="I608">
        <v>1097.2</v>
      </c>
      <c r="J608" s="10">
        <v>45229</v>
      </c>
      <c r="K608" t="s">
        <v>100</v>
      </c>
      <c r="L608" s="16" t="s">
        <v>2044</v>
      </c>
      <c r="M608" s="7" t="str">
        <f>IF(K608="收_客户",INDEX(客户信息维护!C:C,MATCH(银行日记账登记!L608,客户信息维护!B:B,0)),IF(K608="支_供应商",INDEX(供应商信息维护!C:C,MATCH(银行日记账登记!L608,供应商信息维护!B:B,0)),""))</f>
        <v>MOMENTOS ESTIVAIS UNIPESSOAL LDA 季友谊</v>
      </c>
      <c r="N608" t="s">
        <v>2046</v>
      </c>
      <c r="P608" t="s">
        <v>303</v>
      </c>
      <c r="Q608" t="s">
        <v>79</v>
      </c>
      <c r="R608" t="s">
        <v>2061</v>
      </c>
    </row>
    <row r="609" spans="2:18" hidden="1" x14ac:dyDescent="0.25">
      <c r="B609" t="s">
        <v>60</v>
      </c>
      <c r="C609" t="s">
        <v>66</v>
      </c>
      <c r="I609">
        <v>1906.08</v>
      </c>
      <c r="J609" s="10">
        <v>45229</v>
      </c>
      <c r="K609" t="s">
        <v>100</v>
      </c>
      <c r="L609" s="16" t="s">
        <v>2047</v>
      </c>
      <c r="M609" s="7" t="str">
        <f>IF(K609="收_客户",INDEX(客户信息维护!C:C,MATCH(银行日记账登记!L609,客户信息维护!B:B,0)),IF(K609="支_供应商",INDEX(供应商信息维护!C:C,MATCH(银行日记账登记!L609,供应商信息维护!B:B,0)),""))</f>
        <v>MEI GUO</v>
      </c>
      <c r="N609" t="s">
        <v>2049</v>
      </c>
      <c r="P609" t="s">
        <v>303</v>
      </c>
      <c r="Q609" t="s">
        <v>79</v>
      </c>
      <c r="R609" t="s">
        <v>2062</v>
      </c>
    </row>
    <row r="610" spans="2:18" hidden="1" x14ac:dyDescent="0.25">
      <c r="B610" t="s">
        <v>60</v>
      </c>
      <c r="C610" t="s">
        <v>66</v>
      </c>
      <c r="I610">
        <v>1324.91</v>
      </c>
      <c r="J610" s="10">
        <v>45229</v>
      </c>
      <c r="K610" t="s">
        <v>100</v>
      </c>
      <c r="L610" s="16" t="s">
        <v>1179</v>
      </c>
      <c r="M610" s="7" t="str">
        <f>IF(K610="收_客户",INDEX(客户信息维护!C:C,MATCH(银行日记账登记!L610,客户信息维护!B:B,0)),IF(K610="支_供应商",INDEX(供应商信息维护!C:C,MATCH(银行日记账登记!L610,供应商信息维护!B:B,0)),""))</f>
        <v>INCRIVEL SORRISO IUNIP LDA 吴闯</v>
      </c>
      <c r="N610" t="s">
        <v>2050</v>
      </c>
      <c r="P610" t="s">
        <v>303</v>
      </c>
      <c r="Q610" t="s">
        <v>79</v>
      </c>
      <c r="R610" t="s">
        <v>2063</v>
      </c>
    </row>
    <row r="611" spans="2:18" hidden="1" x14ac:dyDescent="0.25">
      <c r="B611" t="s">
        <v>60</v>
      </c>
      <c r="C611" t="s">
        <v>66</v>
      </c>
      <c r="I611">
        <v>1370.91</v>
      </c>
      <c r="J611" s="10">
        <v>45229</v>
      </c>
      <c r="K611" t="s">
        <v>100</v>
      </c>
      <c r="L611" s="16" t="s">
        <v>2051</v>
      </c>
      <c r="M611" s="7" t="str">
        <f>IF(K611="收_客户",INDEX(客户信息维护!C:C,MATCH(银行日记账登记!L611,客户信息维护!B:B,0)),IF(K611="支_供应商",INDEX(供应商信息维护!C:C,MATCH(银行日记账登记!L611,供应商信息维护!B:B,0)),""))</f>
        <v>SUPRESA INCOMPARAVEL LDA 金诚磊</v>
      </c>
      <c r="N611" t="s">
        <v>2053</v>
      </c>
      <c r="P611" t="s">
        <v>303</v>
      </c>
      <c r="Q611" t="s">
        <v>79</v>
      </c>
      <c r="R611" t="s">
        <v>2064</v>
      </c>
    </row>
    <row r="612" spans="2:18" hidden="1" x14ac:dyDescent="0.25">
      <c r="B612" t="s">
        <v>60</v>
      </c>
      <c r="C612" t="s">
        <v>66</v>
      </c>
      <c r="I612">
        <v>1295.99</v>
      </c>
      <c r="J612" s="10">
        <v>45229</v>
      </c>
      <c r="K612" t="s">
        <v>100</v>
      </c>
      <c r="L612" s="16" t="s">
        <v>1566</v>
      </c>
      <c r="M612" s="7" t="str">
        <f>IF(K612="收_客户",INDEX(客户信息维护!C:C,MATCH(银行日记账登记!L612,客户信息维护!B:B,0)),IF(K612="支_供应商",INDEX(供应商信息维护!C:C,MATCH(银行日记账登记!L612,供应商信息维护!B:B,0)),""))</f>
        <v>YOUNGWAY LDA 张洪波</v>
      </c>
      <c r="N612" t="s">
        <v>2054</v>
      </c>
      <c r="P612" t="s">
        <v>303</v>
      </c>
      <c r="Q612" t="s">
        <v>79</v>
      </c>
      <c r="R612" t="s">
        <v>2065</v>
      </c>
    </row>
    <row r="613" spans="2:18" hidden="1" x14ac:dyDescent="0.25">
      <c r="B613" t="s">
        <v>60</v>
      </c>
      <c r="C613" t="s">
        <v>66</v>
      </c>
      <c r="I613">
        <v>1181.17</v>
      </c>
      <c r="J613" s="10">
        <v>45229</v>
      </c>
      <c r="K613" t="s">
        <v>100</v>
      </c>
      <c r="L613" s="16" t="s">
        <v>2055</v>
      </c>
      <c r="M613" s="7" t="str">
        <f>IF(K613="收_客户",INDEX(客户信息维护!C:C,MATCH(银行日记账登记!L613,客户信息维护!B:B,0)),IF(K613="支_供应商",INDEX(供应商信息维护!C:C,MATCH(银行日记账登记!L613,供应商信息维护!B:B,0)),""))</f>
        <v>CHANGMAI LI</v>
      </c>
      <c r="N613" t="s">
        <v>2057</v>
      </c>
      <c r="P613" t="s">
        <v>303</v>
      </c>
      <c r="Q613" t="s">
        <v>79</v>
      </c>
      <c r="R613" t="s">
        <v>2066</v>
      </c>
    </row>
    <row r="614" spans="2:18" hidden="1" x14ac:dyDescent="0.25">
      <c r="B614" t="s">
        <v>60</v>
      </c>
      <c r="C614" t="s">
        <v>66</v>
      </c>
      <c r="I614">
        <v>2023.39</v>
      </c>
      <c r="J614" s="10">
        <v>45229</v>
      </c>
      <c r="K614" t="s">
        <v>100</v>
      </c>
      <c r="L614" s="16" t="s">
        <v>466</v>
      </c>
      <c r="M614" s="7" t="str">
        <f>IF(K614="收_客户",INDEX(客户信息维护!C:C,MATCH(银行日记账登记!L614,客户信息维护!B:B,0)),IF(K614="支_供应商",INDEX(供应商信息维护!C:C,MATCH(银行日记账登记!L614,供应商信息维护!B:B,0)),""))</f>
        <v>GABARITO POSTIVO UNIPESSOAL LDA 王军</v>
      </c>
      <c r="N614" t="s">
        <v>2058</v>
      </c>
      <c r="P614" t="s">
        <v>303</v>
      </c>
      <c r="Q614" t="s">
        <v>79</v>
      </c>
      <c r="R614" t="s">
        <v>2067</v>
      </c>
    </row>
    <row r="615" spans="2:18" hidden="1" x14ac:dyDescent="0.25">
      <c r="B615" t="s">
        <v>60</v>
      </c>
      <c r="C615" t="s">
        <v>66</v>
      </c>
      <c r="I615">
        <v>1210.3900000000001</v>
      </c>
      <c r="J615" s="10">
        <v>45229</v>
      </c>
      <c r="K615" t="s">
        <v>100</v>
      </c>
      <c r="L615" s="16" t="s">
        <v>961</v>
      </c>
      <c r="M615" s="7" t="str">
        <f>IF(K615="收_客户",INDEX(客户信息维护!C:C,MATCH(银行日记账登记!L615,客户信息维护!B:B,0)),IF(K615="支_供应商",INDEX(供应商信息维护!C:C,MATCH(银行日记账登记!L615,供应商信息维护!B:B,0)),""))</f>
        <v>LILAS TIMIDO, LDA</v>
      </c>
      <c r="N615" t="s">
        <v>2059</v>
      </c>
      <c r="P615" t="s">
        <v>303</v>
      </c>
      <c r="Q615" t="s">
        <v>79</v>
      </c>
      <c r="R615" t="s">
        <v>2068</v>
      </c>
    </row>
    <row r="616" spans="2:18" hidden="1" x14ac:dyDescent="0.25">
      <c r="B616" t="s">
        <v>60</v>
      </c>
      <c r="C616" t="s">
        <v>66</v>
      </c>
      <c r="I616">
        <v>3222.98</v>
      </c>
      <c r="J616" s="10">
        <v>45229</v>
      </c>
      <c r="K616" t="s">
        <v>100</v>
      </c>
      <c r="L616" s="16" t="s">
        <v>1720</v>
      </c>
      <c r="M616" s="7" t="str">
        <f>IF(K616="收_客户",INDEX(客户信息维护!C:C,MATCH(银行日记账登记!L616,客户信息维护!B:B,0)),IF(K616="支_供应商",INDEX(供应商信息维护!C:C,MATCH(银行日记账登记!L616,供应商信息维护!B:B,0)),""))</f>
        <v>DYNAMIC KANGAROO LDA 陈开来</v>
      </c>
      <c r="N616" t="s">
        <v>2060</v>
      </c>
      <c r="P616" t="s">
        <v>303</v>
      </c>
      <c r="Q616" t="s">
        <v>79</v>
      </c>
      <c r="R616" t="s">
        <v>2069</v>
      </c>
    </row>
    <row r="617" spans="2:18" hidden="1" x14ac:dyDescent="0.25">
      <c r="B617" t="s">
        <v>60</v>
      </c>
      <c r="C617" t="s">
        <v>66</v>
      </c>
      <c r="I617">
        <v>3868.49</v>
      </c>
      <c r="J617" s="10">
        <v>45229</v>
      </c>
      <c r="K617" t="s">
        <v>100</v>
      </c>
      <c r="L617" s="16" t="s">
        <v>2070</v>
      </c>
      <c r="M617" s="7" t="str">
        <f>IF(K617="收_客户",INDEX(客户信息维护!C:C,MATCH(银行日记账登记!L617,客户信息维护!B:B,0)),IF(K617="支_供应商",INDEX(供应商信息维护!C:C,MATCH(银行日记账登记!L617,供应商信息维护!B:B,0)),""))</f>
        <v>HAIYAN CHEN 林恩克</v>
      </c>
      <c r="N617" t="s">
        <v>2072</v>
      </c>
      <c r="P617" t="s">
        <v>303</v>
      </c>
      <c r="Q617" t="s">
        <v>79</v>
      </c>
      <c r="R617" t="s">
        <v>2079</v>
      </c>
    </row>
    <row r="618" spans="2:18" hidden="1" x14ac:dyDescent="0.25">
      <c r="B618" t="s">
        <v>60</v>
      </c>
      <c r="C618" t="s">
        <v>66</v>
      </c>
      <c r="I618">
        <v>2954.61</v>
      </c>
      <c r="J618" s="10">
        <v>45229</v>
      </c>
      <c r="K618" t="s">
        <v>100</v>
      </c>
      <c r="L618" s="16" t="s">
        <v>178</v>
      </c>
      <c r="M618" s="7" t="str">
        <f>IF(K618="收_客户",INDEX(客户信息维护!C:C,MATCH(银行日记账登记!L618,客户信息维护!B:B,0)),IF(K618="支_供应商",INDEX(供应商信息维护!C:C,MATCH(银行日记账登记!L618,供应商信息维护!B:B,0)),""))</f>
        <v>NEWAX UNIVERSAL TRADE UNIPESSOAL LDA 杨建华</v>
      </c>
      <c r="N618" t="s">
        <v>2073</v>
      </c>
      <c r="P618" t="s">
        <v>303</v>
      </c>
      <c r="Q618" t="s">
        <v>79</v>
      </c>
      <c r="R618" t="s">
        <v>2080</v>
      </c>
    </row>
    <row r="619" spans="2:18" hidden="1" x14ac:dyDescent="0.25">
      <c r="B619" t="s">
        <v>60</v>
      </c>
      <c r="C619" t="s">
        <v>66</v>
      </c>
      <c r="I619">
        <v>2307.79</v>
      </c>
      <c r="J619" s="10">
        <v>45229</v>
      </c>
      <c r="K619" t="s">
        <v>100</v>
      </c>
      <c r="L619" s="16" t="s">
        <v>2029</v>
      </c>
      <c r="M619" s="7" t="str">
        <f>IF(K619="收_客户",INDEX(客户信息维护!C:C,MATCH(银行日记账登记!L619,客户信息维护!B:B,0)),IF(K619="支_供应商",INDEX(供应商信息维护!C:C,MATCH(银行日记账登记!L619,供应商信息维护!B:B,0)),""))</f>
        <v>SHUANGJIE YE LDA 叶双杰</v>
      </c>
      <c r="N619" t="s">
        <v>2074</v>
      </c>
      <c r="P619" t="s">
        <v>303</v>
      </c>
      <c r="Q619" t="s">
        <v>79</v>
      </c>
      <c r="R619" t="s">
        <v>2081</v>
      </c>
    </row>
    <row r="620" spans="2:18" hidden="1" x14ac:dyDescent="0.25">
      <c r="B620" t="s">
        <v>60</v>
      </c>
      <c r="C620" t="s">
        <v>66</v>
      </c>
      <c r="I620">
        <v>426.09</v>
      </c>
      <c r="J620" s="10">
        <v>45229</v>
      </c>
      <c r="K620" t="s">
        <v>100</v>
      </c>
      <c r="L620" s="16" t="s">
        <v>2075</v>
      </c>
      <c r="M620" s="7" t="str">
        <f>IF(K620="收_客户",INDEX(客户信息维护!C:C,MATCH(银行日记账登记!L620,客户信息维护!B:B,0)),IF(K620="支_供应商",INDEX(供应商信息维护!C:C,MATCH(银行日记账登记!L620,供应商信息维护!B:B,0)),""))</f>
        <v>VERIENIE JASMIM LDA 应楚阳</v>
      </c>
      <c r="N620" t="s">
        <v>2077</v>
      </c>
      <c r="P620" t="s">
        <v>303</v>
      </c>
      <c r="Q620" t="s">
        <v>79</v>
      </c>
      <c r="R620" t="s">
        <v>2082</v>
      </c>
    </row>
    <row r="621" spans="2:18" hidden="1" x14ac:dyDescent="0.25">
      <c r="B621" t="s">
        <v>60</v>
      </c>
      <c r="C621" t="s">
        <v>66</v>
      </c>
      <c r="I621">
        <v>2542.1</v>
      </c>
      <c r="J621" s="10">
        <v>45229</v>
      </c>
      <c r="K621" t="s">
        <v>100</v>
      </c>
      <c r="L621" s="16" t="s">
        <v>182</v>
      </c>
      <c r="M621" s="7" t="str">
        <f>IF(K621="收_客户",INDEX(客户信息维护!C:C,MATCH(银行日记账登记!L621,客户信息维护!B:B,0)),IF(K621="支_供应商",INDEX(供应商信息维护!C:C,MATCH(银行日记账登记!L621,供应商信息维护!B:B,0)),""))</f>
        <v>BULICIO DOS DEUSES LDA 君亮 小峰新店</v>
      </c>
      <c r="N621" t="s">
        <v>2078</v>
      </c>
      <c r="P621" t="s">
        <v>303</v>
      </c>
      <c r="Q621" t="s">
        <v>79</v>
      </c>
      <c r="R621" t="s">
        <v>2083</v>
      </c>
    </row>
    <row r="622" spans="2:18" hidden="1" x14ac:dyDescent="0.25">
      <c r="B622" t="s">
        <v>60</v>
      </c>
      <c r="C622" t="s">
        <v>350</v>
      </c>
      <c r="I622">
        <v>860.97</v>
      </c>
      <c r="J622" s="10">
        <v>45227</v>
      </c>
      <c r="K622" t="s">
        <v>100</v>
      </c>
      <c r="L622" s="16" t="s">
        <v>2084</v>
      </c>
      <c r="M622" s="7" t="str">
        <f>IF(K622="收_客户",INDEX(客户信息维护!C:C,MATCH(银行日记账登记!L622,客户信息维护!B:B,0)),IF(K622="支_供应商",INDEX(供应商信息维护!C:C,MATCH(银行日记账登记!L622,供应商信息维护!B:B,0)),""))</f>
        <v>SEREIAS MODERNAS UNIPESSOAL LDA 陈伟</v>
      </c>
      <c r="N622" t="s">
        <v>2086</v>
      </c>
      <c r="Q622" t="s">
        <v>79</v>
      </c>
      <c r="R622" t="s">
        <v>2089</v>
      </c>
    </row>
    <row r="623" spans="2:18" hidden="1" x14ac:dyDescent="0.25">
      <c r="B623" t="s">
        <v>60</v>
      </c>
      <c r="C623" t="s">
        <v>350</v>
      </c>
      <c r="I623">
        <v>1397.9</v>
      </c>
      <c r="J623" s="10">
        <v>45227</v>
      </c>
      <c r="K623" t="s">
        <v>100</v>
      </c>
      <c r="L623" s="16" t="s">
        <v>2084</v>
      </c>
      <c r="M623" s="7" t="str">
        <f>IF(K623="收_客户",INDEX(客户信息维护!C:C,MATCH(银行日记账登记!L623,客户信息维护!B:B,0)),IF(K623="支_供应商",INDEX(供应商信息维护!C:C,MATCH(银行日记账登记!L623,供应商信息维护!B:B,0)),""))</f>
        <v>SEREIAS MODERNAS UNIPESSOAL LDA 陈伟</v>
      </c>
      <c r="N623" t="s">
        <v>2087</v>
      </c>
      <c r="Q623" t="s">
        <v>79</v>
      </c>
      <c r="R623" t="s">
        <v>2090</v>
      </c>
    </row>
    <row r="624" spans="2:18" hidden="1" x14ac:dyDescent="0.25">
      <c r="B624" t="s">
        <v>60</v>
      </c>
      <c r="C624" t="s">
        <v>350</v>
      </c>
      <c r="I624">
        <v>1300.94</v>
      </c>
      <c r="J624" s="10">
        <v>45230</v>
      </c>
      <c r="K624" t="s">
        <v>100</v>
      </c>
      <c r="L624" s="16" t="s">
        <v>345</v>
      </c>
      <c r="M624" s="7" t="str">
        <f>IF(K624="收_客户",INDEX(客户信息维护!C:C,MATCH(银行日记账登记!L624,客户信息维护!B:B,0)),IF(K624="支_供应商",INDEX(供应商信息维护!C:C,MATCH(银行日记账登记!L624,供应商信息维护!B:B,0)),""))</f>
        <v>FABULAS &amp; DEUSES UNIPESSOAL LDA 叶利双</v>
      </c>
      <c r="N624" t="s">
        <v>2088</v>
      </c>
      <c r="Q624" t="s">
        <v>79</v>
      </c>
      <c r="R624" t="s">
        <v>2091</v>
      </c>
    </row>
    <row r="625" spans="2:18" hidden="1" x14ac:dyDescent="0.25">
      <c r="B625" t="s">
        <v>56</v>
      </c>
      <c r="C625" t="s">
        <v>127</v>
      </c>
      <c r="I625">
        <v>12710.55</v>
      </c>
      <c r="J625" s="10">
        <v>45231</v>
      </c>
      <c r="K625" t="s">
        <v>100</v>
      </c>
      <c r="L625" s="16" t="s">
        <v>1338</v>
      </c>
      <c r="M625" s="7" t="str">
        <f>IF(K625="收_客户",INDEX(客户信息维护!C:C,MATCH(银行日记账登记!L625,客户信息维护!B:B,0)),IF(K625="支_供应商",INDEX(供应商信息维护!C:C,MATCH(银行日记账登记!L625,供应商信息维护!B:B,0)),""))</f>
        <v>FOLIA ERUDITA UNIPESSOAL LDA 张耀</v>
      </c>
      <c r="N625" t="s">
        <v>2092</v>
      </c>
      <c r="Q625" t="s">
        <v>79</v>
      </c>
      <c r="R625" t="s">
        <v>2095</v>
      </c>
    </row>
    <row r="626" spans="2:18" hidden="1" x14ac:dyDescent="0.25">
      <c r="B626" t="s">
        <v>56</v>
      </c>
      <c r="C626" t="s">
        <v>127</v>
      </c>
      <c r="I626">
        <v>388.58</v>
      </c>
      <c r="J626" s="10">
        <v>45231</v>
      </c>
      <c r="K626" t="s">
        <v>100</v>
      </c>
      <c r="L626" s="1" t="s">
        <v>932</v>
      </c>
      <c r="M626" s="7" t="str">
        <f>IF(K626="收_客户",INDEX(客户信息维护!C:C,MATCH(银行日记账登记!L626,客户信息维护!B:B,0)),IF(K626="支_供应商",INDEX(供应商信息维护!C:C,MATCH(银行日记账登记!L626,供应商信息维护!B:B,0)),""))</f>
        <v>XIAOYI WANG</v>
      </c>
      <c r="N626" t="s">
        <v>2093</v>
      </c>
      <c r="Q626" t="s">
        <v>79</v>
      </c>
      <c r="R626" t="s">
        <v>2096</v>
      </c>
    </row>
    <row r="627" spans="2:18" hidden="1" x14ac:dyDescent="0.25">
      <c r="B627" t="s">
        <v>56</v>
      </c>
      <c r="C627" t="s">
        <v>127</v>
      </c>
      <c r="I627">
        <v>453.99</v>
      </c>
      <c r="J627" s="10">
        <v>45232</v>
      </c>
      <c r="K627" t="s">
        <v>100</v>
      </c>
      <c r="L627" s="1" t="s">
        <v>695</v>
      </c>
      <c r="M627" s="7" t="str">
        <f>IF(K627="收_客户",INDEX(客户信息维护!C:C,MATCH(银行日记账登记!L627,客户信息维护!B:B,0)),IF(K627="支_供应商",INDEX(供应商信息维护!C:C,MATCH(银行日记账登记!L627,供应商信息维护!B:B,0)),""))</f>
        <v>CHENG HONG</v>
      </c>
      <c r="N627" t="s">
        <v>2094</v>
      </c>
      <c r="Q627" t="s">
        <v>79</v>
      </c>
      <c r="R627" t="s">
        <v>2097</v>
      </c>
    </row>
    <row r="628" spans="2:18" hidden="1" x14ac:dyDescent="0.25">
      <c r="B628" t="s">
        <v>55</v>
      </c>
      <c r="C628" t="s">
        <v>148</v>
      </c>
      <c r="I628">
        <v>2310</v>
      </c>
      <c r="J628" s="10">
        <v>45232</v>
      </c>
      <c r="K628" t="s">
        <v>100</v>
      </c>
      <c r="L628" s="1" t="s">
        <v>1058</v>
      </c>
      <c r="M628" s="7" t="str">
        <f>IF(K628="收_客户",INDEX(客户信息维护!C:C,MATCH(银行日记账登记!L628,客户信息维护!B:B,0)),IF(K628="支_供应商",INDEX(供应商信息维护!C:C,MATCH(银行日记账登记!L628,供应商信息维护!B:B,0)),""))</f>
        <v>YUN LAI FU S.L.</v>
      </c>
      <c r="N628" t="s">
        <v>2098</v>
      </c>
      <c r="Q628" t="s">
        <v>79</v>
      </c>
      <c r="R628" t="s">
        <v>2099</v>
      </c>
    </row>
    <row r="629" spans="2:18" hidden="1" x14ac:dyDescent="0.25">
      <c r="B629" t="s">
        <v>56</v>
      </c>
      <c r="C629" t="s">
        <v>63</v>
      </c>
      <c r="I629">
        <v>1100.5</v>
      </c>
      <c r="J629" s="10">
        <v>45232</v>
      </c>
      <c r="K629" t="s">
        <v>100</v>
      </c>
      <c r="L629" s="1" t="s">
        <v>414</v>
      </c>
      <c r="M629" s="7" t="str">
        <f>IF(K629="收_客户",INDEX(客户信息维护!C:C,MATCH(银行日记账登记!L629,客户信息维护!B:B,0)),IF(K629="支_供应商",INDEX(供应商信息维护!C:C,MATCH(银行日记账登记!L629,供应商信息维护!B:B,0)),""))</f>
        <v>HUANLIANG YANG</v>
      </c>
      <c r="N629" t="s">
        <v>2100</v>
      </c>
      <c r="Q629" t="s">
        <v>79</v>
      </c>
      <c r="R629" t="s">
        <v>2102</v>
      </c>
    </row>
    <row r="630" spans="2:18" hidden="1" x14ac:dyDescent="0.25">
      <c r="B630" t="s">
        <v>56</v>
      </c>
      <c r="C630" t="s">
        <v>63</v>
      </c>
      <c r="I630">
        <v>1172.7</v>
      </c>
      <c r="J630" s="10">
        <v>45232</v>
      </c>
      <c r="K630" t="s">
        <v>100</v>
      </c>
      <c r="L630" s="1" t="s">
        <v>665</v>
      </c>
      <c r="M630" s="7" t="str">
        <f>IF(K630="收_客户",INDEX(客户信息维护!C:C,MATCH(银行日记账登记!L630,客户信息维护!B:B,0)),IF(K630="支_供应商",INDEX(供应商信息维护!C:C,MATCH(银行日记账登记!L630,供应商信息维护!B:B,0)),""))</f>
        <v>MARK ZUX S.L.</v>
      </c>
      <c r="N630" t="s">
        <v>2101</v>
      </c>
      <c r="P630" t="s">
        <v>303</v>
      </c>
      <c r="Q630" t="s">
        <v>79</v>
      </c>
      <c r="R630" t="s">
        <v>2103</v>
      </c>
    </row>
    <row r="631" spans="2:18" hidden="1" x14ac:dyDescent="0.25">
      <c r="B631" t="s">
        <v>56</v>
      </c>
      <c r="C631" t="s">
        <v>127</v>
      </c>
      <c r="I631">
        <v>297.17</v>
      </c>
      <c r="J631" s="10">
        <v>45232</v>
      </c>
      <c r="K631" t="s">
        <v>100</v>
      </c>
      <c r="L631" s="1" t="s">
        <v>304</v>
      </c>
      <c r="M631" s="7" t="str">
        <f>IF(K631="收_客户",INDEX(客户信息维护!C:C,MATCH(银行日记账登记!L631,客户信息维护!B:B,0)),IF(K631="支_供应商",INDEX(供应商信息维护!C:C,MATCH(银行日记账登记!L631,供应商信息维护!B:B,0)),""))</f>
        <v>EL AZRAK MERJANI HAMZA</v>
      </c>
      <c r="N631" t="s">
        <v>2104</v>
      </c>
      <c r="Q631" t="s">
        <v>79</v>
      </c>
      <c r="R631" t="s">
        <v>2109</v>
      </c>
    </row>
    <row r="632" spans="2:18" hidden="1" x14ac:dyDescent="0.25">
      <c r="B632" t="s">
        <v>56</v>
      </c>
      <c r="C632" t="s">
        <v>127</v>
      </c>
      <c r="I632">
        <v>2056.64</v>
      </c>
      <c r="J632" s="10">
        <v>45232</v>
      </c>
      <c r="K632" t="s">
        <v>100</v>
      </c>
      <c r="L632" s="1" t="s">
        <v>2105</v>
      </c>
      <c r="M632" s="7" t="str">
        <f>IF(K632="收_客户",INDEX(客户信息维护!C:C,MATCH(银行日记账登记!L632,客户信息维护!B:B,0)),IF(K632="支_供应商",INDEX(供应商信息维护!C:C,MATCH(银行日记账登记!L632,供应商信息维护!B:B,0)),""))</f>
        <v>SHUN YI DA S.L</v>
      </c>
      <c r="N632" t="s">
        <v>2107</v>
      </c>
      <c r="Q632" t="s">
        <v>79</v>
      </c>
      <c r="R632" t="s">
        <v>2110</v>
      </c>
    </row>
    <row r="633" spans="2:18" hidden="1" x14ac:dyDescent="0.25">
      <c r="B633" t="s">
        <v>56</v>
      </c>
      <c r="C633" t="s">
        <v>127</v>
      </c>
      <c r="I633">
        <v>166.53</v>
      </c>
      <c r="J633" s="10">
        <v>45233</v>
      </c>
      <c r="K633" t="s">
        <v>100</v>
      </c>
      <c r="L633" s="1" t="s">
        <v>1347</v>
      </c>
      <c r="M633" s="7" t="str">
        <f>IF(K633="收_客户",INDEX(客户信息维护!C:C,MATCH(银行日记账登记!L633,客户信息维护!B:B,0)),IF(K633="支_供应商",INDEX(供应商信息维护!C:C,MATCH(银行日记账登记!L633,供应商信息维护!B:B,0)),""))</f>
        <v>QIAN WU</v>
      </c>
      <c r="N633" t="s">
        <v>2108</v>
      </c>
      <c r="Q633" t="s">
        <v>79</v>
      </c>
      <c r="R633" t="s">
        <v>2111</v>
      </c>
    </row>
    <row r="634" spans="2:18" x14ac:dyDescent="0.25">
      <c r="B634" t="s">
        <v>2112</v>
      </c>
      <c r="C634" t="s">
        <v>2115</v>
      </c>
      <c r="I634">
        <v>592.77</v>
      </c>
      <c r="J634" s="10">
        <v>45236</v>
      </c>
      <c r="K634" t="s">
        <v>100</v>
      </c>
      <c r="L634" s="1" t="s">
        <v>2116</v>
      </c>
      <c r="M634" s="7" t="str">
        <f>IF(K634="收_客户",INDEX(客户信息维护!C:C,MATCH(银行日记账登记!L634,客户信息维护!B:B,0)),IF(K634="支_供应商",INDEX(供应商信息维护!C:C,MATCH(银行日记账登记!L634,供应商信息维护!B:B,0)),""))</f>
        <v>HIPER SOL S.L</v>
      </c>
      <c r="N634" t="s">
        <v>2118</v>
      </c>
      <c r="Q634" t="s">
        <v>2125</v>
      </c>
      <c r="R634" t="s">
        <v>2119</v>
      </c>
    </row>
    <row r="635" spans="2:18" x14ac:dyDescent="0.25">
      <c r="B635" t="s">
        <v>2112</v>
      </c>
      <c r="C635" t="s">
        <v>2120</v>
      </c>
      <c r="I635">
        <v>2287.1</v>
      </c>
      <c r="J635" s="10">
        <v>45236</v>
      </c>
      <c r="K635" t="s">
        <v>100</v>
      </c>
      <c r="L635" s="1" t="s">
        <v>2121</v>
      </c>
      <c r="M635" s="7" t="str">
        <f>IF(K635="收_客户",INDEX(客户信息维护!C:C,MATCH(银行日记账登记!L635,客户信息维护!B:B,0)),IF(K635="支_供应商",INDEX(供应商信息维护!C:C,MATCH(银行日记账登记!L635,供应商信息维护!B:B,0)),""))</f>
        <v>JUNJIE CHEN</v>
      </c>
      <c r="N635" t="s">
        <v>2123</v>
      </c>
      <c r="Q635" t="s">
        <v>2125</v>
      </c>
      <c r="R635" t="s">
        <v>2124</v>
      </c>
    </row>
    <row r="636" spans="2:18" x14ac:dyDescent="0.25">
      <c r="B636" t="s">
        <v>2112</v>
      </c>
      <c r="C636" t="s">
        <v>2126</v>
      </c>
      <c r="I636">
        <v>223.67</v>
      </c>
      <c r="J636" s="10">
        <v>45237</v>
      </c>
      <c r="K636" t="s">
        <v>100</v>
      </c>
      <c r="L636" s="1" t="s">
        <v>2127</v>
      </c>
      <c r="M636" s="7" t="str">
        <f>IF(K636="收_客户",INDEX(客户信息维护!C:C,MATCH(银行日记账登记!L636,客户信息维护!B:B,0)),IF(K636="支_供应商",INDEX(供应商信息维护!C:C,MATCH(银行日记账登记!L636,供应商信息维护!B:B,0)),""))</f>
        <v>BAZAR YUANG FA S.L</v>
      </c>
      <c r="N636" t="s">
        <v>2129</v>
      </c>
      <c r="Q636" t="s">
        <v>2125</v>
      </c>
      <c r="R636" t="s">
        <v>2130</v>
      </c>
    </row>
    <row r="637" spans="2:18" x14ac:dyDescent="0.25">
      <c r="B637" t="s">
        <v>2112</v>
      </c>
      <c r="C637" t="s">
        <v>2120</v>
      </c>
      <c r="F637" s="46"/>
      <c r="G637" s="46"/>
      <c r="I637" s="46">
        <v>854.91</v>
      </c>
      <c r="J637" s="10">
        <v>45236</v>
      </c>
      <c r="K637" t="s">
        <v>100</v>
      </c>
      <c r="L637" s="16" t="s">
        <v>2131</v>
      </c>
      <c r="M637" s="48" t="str">
        <f>IF(K637="收_客户",INDEX(客户信息维护!C:C,MATCH(银行日记账登记!L637,客户信息维护!B:B,0)),IF(K637="支_供应商",INDEX(供应商信息维护!C:C,MATCH(银行日记账登记!L637,供应商信息维护!B:B,0)),""))</f>
        <v>JIANQING ZHENG</v>
      </c>
      <c r="N637" s="46" t="s">
        <v>2133</v>
      </c>
      <c r="Q637" t="s">
        <v>2125</v>
      </c>
      <c r="R637" t="s">
        <v>2140</v>
      </c>
    </row>
    <row r="638" spans="2:18" x14ac:dyDescent="0.25">
      <c r="B638" t="s">
        <v>2112</v>
      </c>
      <c r="C638" t="s">
        <v>2120</v>
      </c>
      <c r="F638" s="46"/>
      <c r="G638" s="46"/>
      <c r="I638" s="46">
        <v>2289.56</v>
      </c>
      <c r="J638" s="10">
        <v>45238</v>
      </c>
      <c r="K638" t="s">
        <v>100</v>
      </c>
      <c r="L638" s="47" t="s">
        <v>2134</v>
      </c>
      <c r="M638" s="48" t="str">
        <f>IF(K638="收_客户",INDEX(客户信息维护!C:C,MATCH(银行日记账登记!L638,客户信息维护!B:B,0)),IF(K638="支_供应商",INDEX(供应商信息维护!C:C,MATCH(银行日记账登记!L638,供应商信息维护!B:B,0)),""))</f>
        <v>ZI QI LIN S.</v>
      </c>
      <c r="N638" s="46" t="s">
        <v>2136</v>
      </c>
      <c r="Q638" t="s">
        <v>2125</v>
      </c>
      <c r="R638" t="s">
        <v>2141</v>
      </c>
    </row>
    <row r="639" spans="2:18" x14ac:dyDescent="0.25">
      <c r="B639" t="s">
        <v>2112</v>
      </c>
      <c r="C639" t="s">
        <v>2120</v>
      </c>
      <c r="F639" s="46"/>
      <c r="G639" s="46"/>
      <c r="I639" s="46">
        <v>4523.53</v>
      </c>
      <c r="J639" s="10">
        <v>45238</v>
      </c>
      <c r="K639" t="s">
        <v>100</v>
      </c>
      <c r="L639" s="47" t="s">
        <v>2137</v>
      </c>
      <c r="M639" s="48" t="str">
        <f>IF(K639="收_客户",INDEX(客户信息维护!C:C,MATCH(银行日记账登记!L639,客户信息维护!B:B,0)),IF(K639="支_供应商",INDEX(供应商信息维护!C:C,MATCH(银行日记账登记!L639,供应商信息维护!B:B,0)),""))</f>
        <v>SI MEI TE S.L 叶潮斌</v>
      </c>
      <c r="N639" s="46" t="s">
        <v>2139</v>
      </c>
      <c r="Q639" t="s">
        <v>2125</v>
      </c>
      <c r="R639" t="s">
        <v>2142</v>
      </c>
    </row>
    <row r="640" spans="2:18" x14ac:dyDescent="0.25">
      <c r="B640" t="s">
        <v>2112</v>
      </c>
      <c r="C640" t="s">
        <v>2115</v>
      </c>
      <c r="F640" s="46"/>
      <c r="G640" s="46"/>
      <c r="I640" s="46">
        <v>3112.25</v>
      </c>
      <c r="J640" s="10">
        <v>45237</v>
      </c>
      <c r="K640" t="s">
        <v>100</v>
      </c>
      <c r="L640" s="47" t="s">
        <v>2143</v>
      </c>
      <c r="M640" s="48" t="str">
        <f>IF(K640="收_客户",INDEX(客户信息维护!C:C,MATCH(银行日记账登记!L640,客户信息维护!B:B,0)),IF(K640="支_供应商",INDEX(供应商信息维护!C:C,MATCH(银行日记账登记!L640,供应商信息维护!B:B,0)),""))</f>
        <v>SHOPPING GO SERENA S.L</v>
      </c>
      <c r="N640" s="46" t="s">
        <v>2145</v>
      </c>
      <c r="P640" t="s">
        <v>303</v>
      </c>
      <c r="Q640" t="s">
        <v>2125</v>
      </c>
      <c r="R640" t="s">
        <v>2146</v>
      </c>
    </row>
  </sheetData>
  <phoneticPr fontId="1" type="noConversion"/>
  <conditionalFormatting sqref="N1:N119 N121:N133 N136:N1048576">
    <cfRule type="duplicateValues" dxfId="251" priority="228"/>
  </conditionalFormatting>
  <conditionalFormatting sqref="Q1:Q1048576">
    <cfRule type="cellIs" dxfId="250" priority="226" operator="equal">
      <formula>"已发"</formula>
    </cfRule>
    <cfRule type="cellIs" dxfId="249" priority="227" operator="equal">
      <formula>"未发"</formula>
    </cfRule>
  </conditionalFormatting>
  <conditionalFormatting sqref="L178">
    <cfRule type="duplicateValues" dxfId="248" priority="224"/>
    <cfRule type="duplicateValues" dxfId="247" priority="225"/>
  </conditionalFormatting>
  <conditionalFormatting sqref="L179">
    <cfRule type="duplicateValues" dxfId="246" priority="222"/>
    <cfRule type="duplicateValues" dxfId="245" priority="223"/>
  </conditionalFormatting>
  <conditionalFormatting sqref="L180">
    <cfRule type="duplicateValues" dxfId="244" priority="220"/>
    <cfRule type="duplicateValues" dxfId="243" priority="221"/>
  </conditionalFormatting>
  <conditionalFormatting sqref="L181">
    <cfRule type="duplicateValues" dxfId="242" priority="218"/>
    <cfRule type="duplicateValues" dxfId="241" priority="219"/>
  </conditionalFormatting>
  <conditionalFormatting sqref="L183">
    <cfRule type="duplicateValues" dxfId="240" priority="216"/>
    <cfRule type="duplicateValues" dxfId="239" priority="217"/>
  </conditionalFormatting>
  <conditionalFormatting sqref="L185:L186">
    <cfRule type="duplicateValues" dxfId="238" priority="214"/>
    <cfRule type="duplicateValues" dxfId="237" priority="215"/>
  </conditionalFormatting>
  <conditionalFormatting sqref="N1:N119 N121:N1048576">
    <cfRule type="cellIs" dxfId="236" priority="213" operator="equal">
      <formula>"缺发票"</formula>
    </cfRule>
  </conditionalFormatting>
  <conditionalFormatting sqref="L192">
    <cfRule type="duplicateValues" dxfId="235" priority="211"/>
    <cfRule type="duplicateValues" dxfId="234" priority="212"/>
  </conditionalFormatting>
  <conditionalFormatting sqref="L200">
    <cfRule type="duplicateValues" dxfId="233" priority="209"/>
    <cfRule type="duplicateValues" dxfId="232" priority="210"/>
  </conditionalFormatting>
  <conditionalFormatting sqref="L208">
    <cfRule type="duplicateValues" dxfId="231" priority="207"/>
    <cfRule type="duplicateValues" dxfId="230" priority="208"/>
  </conditionalFormatting>
  <conditionalFormatting sqref="L216">
    <cfRule type="duplicateValues" dxfId="229" priority="205"/>
    <cfRule type="duplicateValues" dxfId="228" priority="206"/>
  </conditionalFormatting>
  <conditionalFormatting sqref="L220">
    <cfRule type="duplicateValues" dxfId="227" priority="203"/>
    <cfRule type="duplicateValues" dxfId="226" priority="204"/>
  </conditionalFormatting>
  <conditionalFormatting sqref="L228">
    <cfRule type="duplicateValues" dxfId="225" priority="201"/>
    <cfRule type="duplicateValues" dxfId="224" priority="202"/>
  </conditionalFormatting>
  <conditionalFormatting sqref="L235">
    <cfRule type="duplicateValues" dxfId="223" priority="199"/>
    <cfRule type="duplicateValues" dxfId="222" priority="200"/>
  </conditionalFormatting>
  <conditionalFormatting sqref="L245">
    <cfRule type="duplicateValues" dxfId="221" priority="197"/>
    <cfRule type="duplicateValues" dxfId="220" priority="198"/>
  </conditionalFormatting>
  <conditionalFormatting sqref="L248">
    <cfRule type="duplicateValues" dxfId="219" priority="195"/>
    <cfRule type="duplicateValues" dxfId="218" priority="196"/>
  </conditionalFormatting>
  <conditionalFormatting sqref="L249">
    <cfRule type="duplicateValues" dxfId="217" priority="193"/>
    <cfRule type="duplicateValues" dxfId="216" priority="194"/>
  </conditionalFormatting>
  <conditionalFormatting sqref="L250">
    <cfRule type="duplicateValues" dxfId="215" priority="191"/>
    <cfRule type="duplicateValues" dxfId="214" priority="192"/>
  </conditionalFormatting>
  <conditionalFormatting sqref="L253">
    <cfRule type="duplicateValues" dxfId="213" priority="189"/>
    <cfRule type="duplicateValues" dxfId="212" priority="190"/>
  </conditionalFormatting>
  <conditionalFormatting sqref="L254:L255">
    <cfRule type="duplicateValues" dxfId="211" priority="187"/>
    <cfRule type="duplicateValues" dxfId="210" priority="188"/>
  </conditionalFormatting>
  <conditionalFormatting sqref="L263">
    <cfRule type="duplicateValues" dxfId="209" priority="185"/>
    <cfRule type="duplicateValues" dxfId="208" priority="186"/>
  </conditionalFormatting>
  <conditionalFormatting sqref="L264">
    <cfRule type="duplicateValues" dxfId="207" priority="183"/>
    <cfRule type="duplicateValues" dxfId="206" priority="184"/>
  </conditionalFormatting>
  <conditionalFormatting sqref="L286">
    <cfRule type="duplicateValues" dxfId="205" priority="181"/>
    <cfRule type="duplicateValues" dxfId="204" priority="182"/>
  </conditionalFormatting>
  <conditionalFormatting sqref="L287">
    <cfRule type="duplicateValues" dxfId="203" priority="179"/>
    <cfRule type="duplicateValues" dxfId="202" priority="180"/>
  </conditionalFormatting>
  <conditionalFormatting sqref="L293">
    <cfRule type="duplicateValues" dxfId="201" priority="177"/>
    <cfRule type="duplicateValues" dxfId="200" priority="178"/>
  </conditionalFormatting>
  <conditionalFormatting sqref="L294">
    <cfRule type="duplicateValues" dxfId="199" priority="175"/>
    <cfRule type="duplicateValues" dxfId="198" priority="176"/>
  </conditionalFormatting>
  <conditionalFormatting sqref="L302">
    <cfRule type="duplicateValues" dxfId="197" priority="173"/>
    <cfRule type="duplicateValues" dxfId="196" priority="174"/>
  </conditionalFormatting>
  <conditionalFormatting sqref="L303">
    <cfRule type="duplicateValues" dxfId="195" priority="171"/>
    <cfRule type="duplicateValues" dxfId="194" priority="172"/>
  </conditionalFormatting>
  <conditionalFormatting sqref="L304">
    <cfRule type="duplicateValues" dxfId="193" priority="169"/>
    <cfRule type="duplicateValues" dxfId="192" priority="170"/>
  </conditionalFormatting>
  <conditionalFormatting sqref="L312">
    <cfRule type="duplicateValues" dxfId="191" priority="167"/>
    <cfRule type="duplicateValues" dxfId="190" priority="168"/>
  </conditionalFormatting>
  <conditionalFormatting sqref="L313">
    <cfRule type="duplicateValues" dxfId="189" priority="165"/>
    <cfRule type="duplicateValues" dxfId="188" priority="166"/>
  </conditionalFormatting>
  <conditionalFormatting sqref="L314">
    <cfRule type="duplicateValues" dxfId="187" priority="163"/>
    <cfRule type="duplicateValues" dxfId="186" priority="164"/>
  </conditionalFormatting>
  <conditionalFormatting sqref="L315">
    <cfRule type="duplicateValues" dxfId="185" priority="159"/>
    <cfRule type="duplicateValues" dxfId="184" priority="160"/>
  </conditionalFormatting>
  <conditionalFormatting sqref="L316">
    <cfRule type="duplicateValues" dxfId="183" priority="157"/>
    <cfRule type="duplicateValues" dxfId="182" priority="158"/>
  </conditionalFormatting>
  <conditionalFormatting sqref="L319">
    <cfRule type="duplicateValues" dxfId="181" priority="155"/>
    <cfRule type="duplicateValues" dxfId="180" priority="156"/>
  </conditionalFormatting>
  <conditionalFormatting sqref="L344">
    <cfRule type="duplicateValues" dxfId="179" priority="153"/>
    <cfRule type="duplicateValues" dxfId="178" priority="154"/>
  </conditionalFormatting>
  <conditionalFormatting sqref="L357">
    <cfRule type="duplicateValues" dxfId="177" priority="151"/>
    <cfRule type="duplicateValues" dxfId="176" priority="152"/>
  </conditionalFormatting>
  <conditionalFormatting sqref="L364">
    <cfRule type="duplicateValues" dxfId="175" priority="149"/>
    <cfRule type="duplicateValues" dxfId="174" priority="150"/>
  </conditionalFormatting>
  <conditionalFormatting sqref="L365">
    <cfRule type="duplicateValues" dxfId="173" priority="147"/>
    <cfRule type="duplicateValues" dxfId="172" priority="148"/>
  </conditionalFormatting>
  <conditionalFormatting sqref="L375">
    <cfRule type="duplicateValues" dxfId="171" priority="145"/>
    <cfRule type="duplicateValues" dxfId="170" priority="146"/>
  </conditionalFormatting>
  <conditionalFormatting sqref="L385">
    <cfRule type="duplicateValues" dxfId="169" priority="143"/>
    <cfRule type="duplicateValues" dxfId="168" priority="144"/>
  </conditionalFormatting>
  <conditionalFormatting sqref="L386">
    <cfRule type="duplicateValues" dxfId="167" priority="141"/>
    <cfRule type="duplicateValues" dxfId="166" priority="142"/>
  </conditionalFormatting>
  <conditionalFormatting sqref="L398">
    <cfRule type="duplicateValues" dxfId="165" priority="139"/>
    <cfRule type="duplicateValues" dxfId="164" priority="140"/>
  </conditionalFormatting>
  <conditionalFormatting sqref="L399">
    <cfRule type="duplicateValues" dxfId="163" priority="137"/>
    <cfRule type="duplicateValues" dxfId="162" priority="138"/>
  </conditionalFormatting>
  <conditionalFormatting sqref="L406">
    <cfRule type="duplicateValues" dxfId="161" priority="135"/>
    <cfRule type="duplicateValues" dxfId="160" priority="136"/>
  </conditionalFormatting>
  <conditionalFormatting sqref="L422">
    <cfRule type="duplicateValues" dxfId="159" priority="133"/>
    <cfRule type="duplicateValues" dxfId="158" priority="134"/>
  </conditionalFormatting>
  <conditionalFormatting sqref="L433">
    <cfRule type="duplicateValues" dxfId="157" priority="131"/>
    <cfRule type="duplicateValues" dxfId="156" priority="132"/>
  </conditionalFormatting>
  <conditionalFormatting sqref="L434">
    <cfRule type="duplicateValues" dxfId="155" priority="129"/>
    <cfRule type="duplicateValues" dxfId="154" priority="130"/>
  </conditionalFormatting>
  <conditionalFormatting sqref="L435">
    <cfRule type="duplicateValues" dxfId="153" priority="127"/>
    <cfRule type="duplicateValues" dxfId="152" priority="128"/>
  </conditionalFormatting>
  <conditionalFormatting sqref="L436">
    <cfRule type="duplicateValues" dxfId="151" priority="125"/>
    <cfRule type="duplicateValues" dxfId="150" priority="126"/>
  </conditionalFormatting>
  <conditionalFormatting sqref="L437">
    <cfRule type="duplicateValues" dxfId="149" priority="123"/>
    <cfRule type="duplicateValues" dxfId="148" priority="124"/>
  </conditionalFormatting>
  <conditionalFormatting sqref="L438">
    <cfRule type="duplicateValues" dxfId="147" priority="121"/>
    <cfRule type="duplicateValues" dxfId="146" priority="122"/>
  </conditionalFormatting>
  <conditionalFormatting sqref="L439">
    <cfRule type="duplicateValues" dxfId="145" priority="119"/>
    <cfRule type="duplicateValues" dxfId="144" priority="120"/>
  </conditionalFormatting>
  <conditionalFormatting sqref="L440">
    <cfRule type="duplicateValues" dxfId="143" priority="117"/>
    <cfRule type="duplicateValues" dxfId="142" priority="118"/>
  </conditionalFormatting>
  <conditionalFormatting sqref="L441">
    <cfRule type="duplicateValues" dxfId="141" priority="115"/>
    <cfRule type="duplicateValues" dxfId="140" priority="116"/>
  </conditionalFormatting>
  <conditionalFormatting sqref="L442">
    <cfRule type="duplicateValues" dxfId="139" priority="113"/>
    <cfRule type="duplicateValues" dxfId="138" priority="114"/>
  </conditionalFormatting>
  <conditionalFormatting sqref="L443">
    <cfRule type="duplicateValues" dxfId="137" priority="111"/>
    <cfRule type="duplicateValues" dxfId="136" priority="112"/>
  </conditionalFormatting>
  <conditionalFormatting sqref="L444">
    <cfRule type="duplicateValues" dxfId="135" priority="109"/>
    <cfRule type="duplicateValues" dxfId="134" priority="110"/>
  </conditionalFormatting>
  <conditionalFormatting sqref="L445">
    <cfRule type="duplicateValues" dxfId="133" priority="107"/>
    <cfRule type="duplicateValues" dxfId="132" priority="108"/>
  </conditionalFormatting>
  <conditionalFormatting sqref="L449">
    <cfRule type="duplicateValues" dxfId="131" priority="105"/>
    <cfRule type="duplicateValues" dxfId="130" priority="106"/>
  </conditionalFormatting>
  <conditionalFormatting sqref="L462">
    <cfRule type="duplicateValues" dxfId="129" priority="103"/>
    <cfRule type="duplicateValues" dxfId="128" priority="104"/>
  </conditionalFormatting>
  <conditionalFormatting sqref="L463">
    <cfRule type="duplicateValues" dxfId="127" priority="101"/>
    <cfRule type="duplicateValues" dxfId="126" priority="102"/>
  </conditionalFormatting>
  <conditionalFormatting sqref="L468">
    <cfRule type="duplicateValues" dxfId="125" priority="99"/>
    <cfRule type="duplicateValues" dxfId="124" priority="100"/>
  </conditionalFormatting>
  <conditionalFormatting sqref="L482">
    <cfRule type="duplicateValues" dxfId="123" priority="97"/>
    <cfRule type="duplicateValues" dxfId="122" priority="98"/>
  </conditionalFormatting>
  <conditionalFormatting sqref="L483">
    <cfRule type="duplicateValues" dxfId="121" priority="95"/>
    <cfRule type="duplicateValues" dxfId="120" priority="96"/>
  </conditionalFormatting>
  <conditionalFormatting sqref="L484">
    <cfRule type="duplicateValues" dxfId="119" priority="93"/>
    <cfRule type="duplicateValues" dxfId="118" priority="94"/>
  </conditionalFormatting>
  <conditionalFormatting sqref="L486">
    <cfRule type="duplicateValues" dxfId="117" priority="91"/>
    <cfRule type="duplicateValues" dxfId="116" priority="92"/>
  </conditionalFormatting>
  <conditionalFormatting sqref="L490">
    <cfRule type="duplicateValues" dxfId="115" priority="89"/>
    <cfRule type="duplicateValues" dxfId="114" priority="90"/>
  </conditionalFormatting>
  <conditionalFormatting sqref="L491">
    <cfRule type="duplicateValues" dxfId="113" priority="87"/>
    <cfRule type="duplicateValues" dxfId="112" priority="88"/>
  </conditionalFormatting>
  <conditionalFormatting sqref="L492">
    <cfRule type="duplicateValues" dxfId="111" priority="85"/>
    <cfRule type="duplicateValues" dxfId="110" priority="86"/>
  </conditionalFormatting>
  <conditionalFormatting sqref="L493">
    <cfRule type="duplicateValues" dxfId="109" priority="83"/>
    <cfRule type="duplicateValues" dxfId="108" priority="84"/>
  </conditionalFormatting>
  <conditionalFormatting sqref="L494">
    <cfRule type="duplicateValues" dxfId="107" priority="81"/>
    <cfRule type="duplicateValues" dxfId="106" priority="82"/>
  </conditionalFormatting>
  <conditionalFormatting sqref="L495">
    <cfRule type="duplicateValues" dxfId="105" priority="79"/>
    <cfRule type="duplicateValues" dxfId="104" priority="80"/>
  </conditionalFormatting>
  <conditionalFormatting sqref="L496">
    <cfRule type="duplicateValues" dxfId="103" priority="77"/>
    <cfRule type="duplicateValues" dxfId="102" priority="78"/>
  </conditionalFormatting>
  <conditionalFormatting sqref="L507">
    <cfRule type="duplicateValues" dxfId="101" priority="75"/>
    <cfRule type="duplicateValues" dxfId="100" priority="76"/>
  </conditionalFormatting>
  <conditionalFormatting sqref="L508">
    <cfRule type="duplicateValues" dxfId="99" priority="73"/>
    <cfRule type="duplicateValues" dxfId="98" priority="74"/>
  </conditionalFormatting>
  <conditionalFormatting sqref="L509">
    <cfRule type="duplicateValues" dxfId="97" priority="71"/>
    <cfRule type="duplicateValues" dxfId="96" priority="72"/>
  </conditionalFormatting>
  <conditionalFormatting sqref="L510">
    <cfRule type="duplicateValues" dxfId="95" priority="69"/>
    <cfRule type="duplicateValues" dxfId="94" priority="70"/>
  </conditionalFormatting>
  <conditionalFormatting sqref="L533">
    <cfRule type="duplicateValues" dxfId="93" priority="67"/>
    <cfRule type="duplicateValues" dxfId="92" priority="68"/>
  </conditionalFormatting>
  <conditionalFormatting sqref="L543">
    <cfRule type="duplicateValues" dxfId="91" priority="65"/>
    <cfRule type="duplicateValues" dxfId="90" priority="66"/>
  </conditionalFormatting>
  <conditionalFormatting sqref="L549">
    <cfRule type="duplicateValues" dxfId="89" priority="63"/>
    <cfRule type="duplicateValues" dxfId="88" priority="64"/>
  </conditionalFormatting>
  <conditionalFormatting sqref="L550">
    <cfRule type="duplicateValues" dxfId="87" priority="61"/>
    <cfRule type="duplicateValues" dxfId="86" priority="62"/>
  </conditionalFormatting>
  <conditionalFormatting sqref="L553">
    <cfRule type="duplicateValues" dxfId="85" priority="59"/>
    <cfRule type="duplicateValues" dxfId="84" priority="60"/>
  </conditionalFormatting>
  <conditionalFormatting sqref="L554">
    <cfRule type="duplicateValues" dxfId="83" priority="57"/>
    <cfRule type="duplicateValues" dxfId="82" priority="58"/>
  </conditionalFormatting>
  <conditionalFormatting sqref="L571">
    <cfRule type="duplicateValues" dxfId="81" priority="55"/>
    <cfRule type="duplicateValues" dxfId="80" priority="56"/>
  </conditionalFormatting>
  <conditionalFormatting sqref="L574">
    <cfRule type="duplicateValues" dxfId="79" priority="53"/>
    <cfRule type="duplicateValues" dxfId="78" priority="54"/>
  </conditionalFormatting>
  <conditionalFormatting sqref="L589">
    <cfRule type="duplicateValues" dxfId="77" priority="51"/>
    <cfRule type="duplicateValues" dxfId="76" priority="52"/>
  </conditionalFormatting>
  <conditionalFormatting sqref="L601">
    <cfRule type="duplicateValues" dxfId="75" priority="49"/>
    <cfRule type="duplicateValues" dxfId="74" priority="50"/>
  </conditionalFormatting>
  <conditionalFormatting sqref="L602">
    <cfRule type="duplicateValues" dxfId="73" priority="47"/>
    <cfRule type="duplicateValues" dxfId="72" priority="48"/>
  </conditionalFormatting>
  <conditionalFormatting sqref="L603">
    <cfRule type="duplicateValues" dxfId="71" priority="45"/>
    <cfRule type="duplicateValues" dxfId="70" priority="46"/>
  </conditionalFormatting>
  <conditionalFormatting sqref="L604">
    <cfRule type="duplicateValues" dxfId="69" priority="43"/>
    <cfRule type="duplicateValues" dxfId="68" priority="44"/>
  </conditionalFormatting>
  <conditionalFormatting sqref="L605">
    <cfRule type="duplicateValues" dxfId="67" priority="41"/>
    <cfRule type="duplicateValues" dxfId="66" priority="42"/>
  </conditionalFormatting>
  <conditionalFormatting sqref="L606">
    <cfRule type="duplicateValues" dxfId="65" priority="39"/>
    <cfRule type="duplicateValues" dxfId="64" priority="40"/>
  </conditionalFormatting>
  <conditionalFormatting sqref="L607">
    <cfRule type="duplicateValues" dxfId="63" priority="37"/>
    <cfRule type="duplicateValues" dxfId="62" priority="38"/>
  </conditionalFormatting>
  <conditionalFormatting sqref="L608">
    <cfRule type="duplicateValues" dxfId="61" priority="35"/>
    <cfRule type="duplicateValues" dxfId="60" priority="36"/>
  </conditionalFormatting>
  <conditionalFormatting sqref="L609">
    <cfRule type="duplicateValues" dxfId="59" priority="33"/>
    <cfRule type="duplicateValues" dxfId="58" priority="34"/>
  </conditionalFormatting>
  <conditionalFormatting sqref="L610">
    <cfRule type="duplicateValues" dxfId="57" priority="31"/>
    <cfRule type="duplicateValues" dxfId="56" priority="32"/>
  </conditionalFormatting>
  <conditionalFormatting sqref="L611">
    <cfRule type="duplicateValues" dxfId="55" priority="29"/>
    <cfRule type="duplicateValues" dxfId="54" priority="30"/>
  </conditionalFormatting>
  <conditionalFormatting sqref="L612">
    <cfRule type="duplicateValues" dxfId="53" priority="27"/>
    <cfRule type="duplicateValues" dxfId="52" priority="28"/>
  </conditionalFormatting>
  <conditionalFormatting sqref="L613">
    <cfRule type="duplicateValues" dxfId="51" priority="25"/>
    <cfRule type="duplicateValues" dxfId="50" priority="26"/>
  </conditionalFormatting>
  <conditionalFormatting sqref="L614">
    <cfRule type="duplicateValues" dxfId="49" priority="23"/>
    <cfRule type="duplicateValues" dxfId="48" priority="24"/>
  </conditionalFormatting>
  <conditionalFormatting sqref="L615">
    <cfRule type="duplicateValues" dxfId="47" priority="21"/>
    <cfRule type="duplicateValues" dxfId="46" priority="22"/>
  </conditionalFormatting>
  <conditionalFormatting sqref="L616">
    <cfRule type="duplicateValues" dxfId="45" priority="19"/>
    <cfRule type="duplicateValues" dxfId="44" priority="20"/>
  </conditionalFormatting>
  <conditionalFormatting sqref="L617">
    <cfRule type="duplicateValues" dxfId="43" priority="17"/>
    <cfRule type="duplicateValues" dxfId="42" priority="18"/>
  </conditionalFormatting>
  <conditionalFormatting sqref="L618">
    <cfRule type="duplicateValues" dxfId="41" priority="15"/>
    <cfRule type="duplicateValues" dxfId="40" priority="16"/>
  </conditionalFormatting>
  <conditionalFormatting sqref="L619">
    <cfRule type="duplicateValues" dxfId="39" priority="13"/>
    <cfRule type="duplicateValues" dxfId="38" priority="14"/>
  </conditionalFormatting>
  <conditionalFormatting sqref="L620">
    <cfRule type="duplicateValues" dxfId="37" priority="11"/>
    <cfRule type="duplicateValues" dxfId="36" priority="12"/>
  </conditionalFormatting>
  <conditionalFormatting sqref="L621">
    <cfRule type="duplicateValues" dxfId="35" priority="9"/>
    <cfRule type="duplicateValues" dxfId="34" priority="10"/>
  </conditionalFormatting>
  <conditionalFormatting sqref="L622:L623">
    <cfRule type="duplicateValues" dxfId="33" priority="7"/>
    <cfRule type="duplicateValues" dxfId="32" priority="8"/>
  </conditionalFormatting>
  <conditionalFormatting sqref="L624">
    <cfRule type="duplicateValues" dxfId="31" priority="5"/>
    <cfRule type="duplicateValues" dxfId="30" priority="6"/>
  </conditionalFormatting>
  <conditionalFormatting sqref="L625">
    <cfRule type="duplicateValues" dxfId="29" priority="3"/>
    <cfRule type="duplicateValues" dxfId="28" priority="4"/>
  </conditionalFormatting>
  <conditionalFormatting sqref="L637">
    <cfRule type="duplicateValues" dxfId="1" priority="1"/>
    <cfRule type="duplicateValues" dxfId="0" priority="2"/>
  </conditionalFormatting>
  <dataValidations count="5">
    <dataValidation type="list" allowBlank="1" showInputMessage="1" showErrorMessage="1" sqref="E1:E60 E62:E1048576" xr:uid="{00000000-0002-0000-0000-000000000000}">
      <formula1>收支状态</formula1>
    </dataValidation>
    <dataValidation type="list" allowBlank="1" showInputMessage="1" showErrorMessage="1" sqref="F61 K1:K1048576" xr:uid="{00000000-0002-0000-0000-000001000000}">
      <formula1>收支类型</formula1>
    </dataValidation>
    <dataValidation type="list" allowBlank="1" showInputMessage="1" showErrorMessage="1" sqref="L2:L397 L400:L405 L407:L421 L423:L432 L446:L448 L450:L461 L464:L467 L469:L481 L485 L487:L489 L497:L506 L511:L532 L534:L542 L544:L548 L551:L552 L555:L570 D573 L572:L573 L638:L1048576 L575:L588 L590:L600 L626:L636 C1:C1048576" xr:uid="{00000000-0002-0000-0000-000002000000}">
      <formula1>INDIRECT(OFFSET(INDIRECT(ADDRESS(ROW(), COLUMN())),0,-1))</formula1>
    </dataValidation>
    <dataValidation type="list" allowBlank="1" showInputMessage="1" showErrorMessage="1" sqref="B1:B1048576" xr:uid="{00000000-0002-0000-0000-000003000000}">
      <formula1>公司名称</formula1>
    </dataValidation>
    <dataValidation type="list" allowBlank="1" showInputMessage="1" showErrorMessage="1" sqref="Q1:Q1048576" xr:uid="{00000000-0002-0000-0000-000004000000}">
      <formula1>"未发,已发"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nddata">
                <anchor moveWithCells="1" sizeWithCells="1">
                  <from>
                    <xdr:col>17</xdr:col>
                    <xdr:colOff>784860</xdr:colOff>
                    <xdr:row>0</xdr:row>
                    <xdr:rowOff>0</xdr:rowOff>
                  </from>
                  <to>
                    <xdr:col>17</xdr:col>
                    <xdr:colOff>2087880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355"/>
  <sheetViews>
    <sheetView workbookViewId="0">
      <pane ySplit="1" topLeftCell="A340" activePane="bottomLeft" state="frozen"/>
      <selection pane="bottomLeft" activeCell="C355" sqref="C355"/>
    </sheetView>
  </sheetViews>
  <sheetFormatPr defaultRowHeight="13.8" x14ac:dyDescent="0.25"/>
  <cols>
    <col min="2" max="2" width="14.44140625" style="16" customWidth="1"/>
    <col min="3" max="3" width="55" customWidth="1"/>
  </cols>
  <sheetData>
    <row r="1" spans="2:3" x14ac:dyDescent="0.25">
      <c r="B1" s="24" t="s">
        <v>105</v>
      </c>
      <c r="C1" s="6" t="s">
        <v>72</v>
      </c>
    </row>
    <row r="2" spans="2:3" x14ac:dyDescent="0.25">
      <c r="B2" s="16" t="s">
        <v>1179</v>
      </c>
      <c r="C2" t="s">
        <v>175</v>
      </c>
    </row>
    <row r="3" spans="2:3" x14ac:dyDescent="0.25">
      <c r="B3" s="16" t="s">
        <v>304</v>
      </c>
      <c r="C3" t="s">
        <v>305</v>
      </c>
    </row>
    <row r="4" spans="2:3" x14ac:dyDescent="0.25">
      <c r="B4" s="16" t="s">
        <v>545</v>
      </c>
      <c r="C4" t="s">
        <v>546</v>
      </c>
    </row>
    <row r="5" spans="2:3" x14ac:dyDescent="0.25">
      <c r="B5" s="16" t="s">
        <v>352</v>
      </c>
      <c r="C5" t="s">
        <v>353</v>
      </c>
    </row>
    <row r="6" spans="2:3" x14ac:dyDescent="0.25">
      <c r="B6" s="16" t="s">
        <v>572</v>
      </c>
      <c r="C6" t="s">
        <v>573</v>
      </c>
    </row>
    <row r="7" spans="2:3" x14ac:dyDescent="0.25">
      <c r="B7" s="16" t="s">
        <v>423</v>
      </c>
      <c r="C7" t="s">
        <v>424</v>
      </c>
    </row>
    <row r="8" spans="2:3" x14ac:dyDescent="0.25">
      <c r="B8" s="16" t="s">
        <v>307</v>
      </c>
      <c r="C8" t="s">
        <v>308</v>
      </c>
    </row>
    <row r="9" spans="2:3" x14ac:dyDescent="0.25">
      <c r="B9" s="16" t="s">
        <v>186</v>
      </c>
      <c r="C9" t="s">
        <v>187</v>
      </c>
    </row>
    <row r="10" spans="2:3" x14ac:dyDescent="0.25">
      <c r="B10" s="16" t="s">
        <v>194</v>
      </c>
      <c r="C10" t="s">
        <v>195</v>
      </c>
    </row>
    <row r="11" spans="2:3" x14ac:dyDescent="0.25">
      <c r="B11" s="16" t="s">
        <v>463</v>
      </c>
      <c r="C11" t="s">
        <v>464</v>
      </c>
    </row>
    <row r="12" spans="2:3" x14ac:dyDescent="0.25">
      <c r="B12" s="16" t="s">
        <v>466</v>
      </c>
      <c r="C12" t="s">
        <v>467</v>
      </c>
    </row>
    <row r="13" spans="2:3" x14ac:dyDescent="0.25">
      <c r="B13" s="16" t="s">
        <v>198</v>
      </c>
      <c r="C13" t="s">
        <v>199</v>
      </c>
    </row>
    <row r="14" spans="2:3" x14ac:dyDescent="0.25">
      <c r="B14" s="16" t="s">
        <v>459</v>
      </c>
      <c r="C14" t="s">
        <v>460</v>
      </c>
    </row>
    <row r="15" spans="2:3" x14ac:dyDescent="0.25">
      <c r="B15" s="16" t="s">
        <v>182</v>
      </c>
      <c r="C15" t="s">
        <v>183</v>
      </c>
    </row>
    <row r="16" spans="2:3" x14ac:dyDescent="0.25">
      <c r="B16" s="16" t="s">
        <v>190</v>
      </c>
      <c r="C16" t="s">
        <v>191</v>
      </c>
    </row>
    <row r="17" spans="2:3" x14ac:dyDescent="0.25">
      <c r="B17" s="16" t="s">
        <v>345</v>
      </c>
      <c r="C17" t="s">
        <v>346</v>
      </c>
    </row>
    <row r="18" spans="2:3" x14ac:dyDescent="0.25">
      <c r="B18" s="16" t="s">
        <v>178</v>
      </c>
      <c r="C18" t="s">
        <v>179</v>
      </c>
    </row>
    <row r="19" spans="2:3" x14ac:dyDescent="0.25">
      <c r="B19" s="16" t="s">
        <v>427</v>
      </c>
      <c r="C19" t="s">
        <v>428</v>
      </c>
    </row>
    <row r="20" spans="2:3" x14ac:dyDescent="0.25">
      <c r="B20" s="16" t="s">
        <v>338</v>
      </c>
      <c r="C20" t="s">
        <v>339</v>
      </c>
    </row>
    <row r="21" spans="2:3" x14ac:dyDescent="0.25">
      <c r="B21" s="16" t="s">
        <v>557</v>
      </c>
      <c r="C21" t="s">
        <v>558</v>
      </c>
    </row>
    <row r="22" spans="2:3" x14ac:dyDescent="0.25">
      <c r="B22" s="16" t="s">
        <v>627</v>
      </c>
      <c r="C22" t="s">
        <v>628</v>
      </c>
    </row>
    <row r="23" spans="2:3" x14ac:dyDescent="0.25">
      <c r="B23" s="16" t="s">
        <v>549</v>
      </c>
      <c r="C23" t="s">
        <v>550</v>
      </c>
    </row>
    <row r="24" spans="2:3" x14ac:dyDescent="0.25">
      <c r="B24" s="16" t="s">
        <v>301</v>
      </c>
      <c r="C24" t="s">
        <v>300</v>
      </c>
    </row>
    <row r="25" spans="2:3" x14ac:dyDescent="0.25">
      <c r="B25" s="16" t="s">
        <v>541</v>
      </c>
      <c r="C25" t="s">
        <v>542</v>
      </c>
    </row>
    <row r="26" spans="2:3" x14ac:dyDescent="0.25">
      <c r="B26" s="16" t="s">
        <v>454</v>
      </c>
      <c r="C26" t="s">
        <v>455</v>
      </c>
    </row>
    <row r="27" spans="2:3" x14ac:dyDescent="0.25">
      <c r="B27" s="16" t="s">
        <v>368</v>
      </c>
      <c r="C27" t="s">
        <v>369</v>
      </c>
    </row>
    <row r="28" spans="2:3" x14ac:dyDescent="0.25">
      <c r="B28" s="16" t="s">
        <v>504</v>
      </c>
      <c r="C28" t="s">
        <v>505</v>
      </c>
    </row>
    <row r="29" spans="2:3" x14ac:dyDescent="0.25">
      <c r="B29" s="16" t="s">
        <v>624</v>
      </c>
      <c r="C29" t="s">
        <v>625</v>
      </c>
    </row>
    <row r="30" spans="2:3" x14ac:dyDescent="0.25">
      <c r="B30" s="16" t="s">
        <v>137</v>
      </c>
      <c r="C30" t="s">
        <v>138</v>
      </c>
    </row>
    <row r="31" spans="2:3" x14ac:dyDescent="0.25">
      <c r="B31" s="16" t="s">
        <v>607</v>
      </c>
      <c r="C31" t="s">
        <v>608</v>
      </c>
    </row>
    <row r="32" spans="2:3" x14ac:dyDescent="0.25">
      <c r="B32" s="16" t="s">
        <v>149</v>
      </c>
      <c r="C32" t="s">
        <v>150</v>
      </c>
    </row>
    <row r="33" spans="2:3" x14ac:dyDescent="0.25">
      <c r="B33" s="16" t="s">
        <v>125</v>
      </c>
      <c r="C33" t="s">
        <v>126</v>
      </c>
    </row>
    <row r="34" spans="2:3" x14ac:dyDescent="0.25">
      <c r="B34" s="16" t="s">
        <v>223</v>
      </c>
      <c r="C34" t="s">
        <v>224</v>
      </c>
    </row>
    <row r="35" spans="2:3" x14ac:dyDescent="0.25">
      <c r="B35" s="16" t="s">
        <v>71</v>
      </c>
      <c r="C35" t="s">
        <v>73</v>
      </c>
    </row>
    <row r="36" spans="2:3" x14ac:dyDescent="0.25">
      <c r="B36" s="16" t="s">
        <v>287</v>
      </c>
      <c r="C36" t="s">
        <v>288</v>
      </c>
    </row>
    <row r="37" spans="2:3" x14ac:dyDescent="0.25">
      <c r="B37" s="16" t="s">
        <v>593</v>
      </c>
      <c r="C37" t="s">
        <v>594</v>
      </c>
    </row>
    <row r="38" spans="2:3" x14ac:dyDescent="0.25">
      <c r="B38" s="16" t="s">
        <v>644</v>
      </c>
      <c r="C38" t="s">
        <v>645</v>
      </c>
    </row>
    <row r="39" spans="2:3" x14ac:dyDescent="0.25">
      <c r="B39" s="16" t="s">
        <v>328</v>
      </c>
      <c r="C39" t="s">
        <v>329</v>
      </c>
    </row>
    <row r="40" spans="2:3" x14ac:dyDescent="0.25">
      <c r="B40" s="16" t="s">
        <v>313</v>
      </c>
      <c r="C40" t="s">
        <v>314</v>
      </c>
    </row>
    <row r="41" spans="2:3" x14ac:dyDescent="0.25">
      <c r="B41" s="16" t="s">
        <v>374</v>
      </c>
      <c r="C41" t="s">
        <v>375</v>
      </c>
    </row>
    <row r="42" spans="2:3" x14ac:dyDescent="0.25">
      <c r="B42" s="16" t="s">
        <v>596</v>
      </c>
      <c r="C42" t="s">
        <v>597</v>
      </c>
    </row>
    <row r="43" spans="2:3" x14ac:dyDescent="0.25">
      <c r="B43" s="16" t="s">
        <v>590</v>
      </c>
      <c r="C43" t="s">
        <v>591</v>
      </c>
    </row>
    <row r="44" spans="2:3" x14ac:dyDescent="0.25">
      <c r="B44" s="16" t="s">
        <v>510</v>
      </c>
      <c r="C44" t="s">
        <v>511</v>
      </c>
    </row>
    <row r="45" spans="2:3" x14ac:dyDescent="0.25">
      <c r="B45" s="16" t="s">
        <v>141</v>
      </c>
      <c r="C45" t="s">
        <v>142</v>
      </c>
    </row>
    <row r="46" spans="2:3" x14ac:dyDescent="0.25">
      <c r="B46" s="16" t="s">
        <v>479</v>
      </c>
      <c r="C46" t="s">
        <v>480</v>
      </c>
    </row>
    <row r="47" spans="2:3" x14ac:dyDescent="0.25">
      <c r="B47" s="16" t="s">
        <v>386</v>
      </c>
      <c r="C47" t="s">
        <v>387</v>
      </c>
    </row>
    <row r="48" spans="2:3" x14ac:dyDescent="0.25">
      <c r="B48" s="16" t="s">
        <v>674</v>
      </c>
      <c r="C48" t="s">
        <v>675</v>
      </c>
    </row>
    <row r="49" spans="2:3" x14ac:dyDescent="0.25">
      <c r="B49" s="16" t="s">
        <v>518</v>
      </c>
      <c r="C49" t="s">
        <v>519</v>
      </c>
    </row>
    <row r="50" spans="2:3" x14ac:dyDescent="0.25">
      <c r="B50" s="16" t="s">
        <v>434</v>
      </c>
      <c r="C50" t="s">
        <v>435</v>
      </c>
    </row>
    <row r="51" spans="2:3" x14ac:dyDescent="0.25">
      <c r="B51" s="16" t="s">
        <v>600</v>
      </c>
      <c r="C51" t="s">
        <v>601</v>
      </c>
    </row>
    <row r="52" spans="2:3" x14ac:dyDescent="0.25">
      <c r="B52" s="16" t="s">
        <v>275</v>
      </c>
      <c r="C52" t="s">
        <v>276</v>
      </c>
    </row>
    <row r="53" spans="2:3" x14ac:dyDescent="0.25">
      <c r="B53" s="16" t="s">
        <v>576</v>
      </c>
      <c r="C53" t="s">
        <v>577</v>
      </c>
    </row>
    <row r="54" spans="2:3" x14ac:dyDescent="0.25">
      <c r="B54" s="16" t="s">
        <v>334</v>
      </c>
      <c r="C54" t="s">
        <v>335</v>
      </c>
    </row>
    <row r="55" spans="2:3" x14ac:dyDescent="0.25">
      <c r="B55" s="16" t="s">
        <v>279</v>
      </c>
      <c r="C55" t="s">
        <v>280</v>
      </c>
    </row>
    <row r="56" spans="2:3" x14ac:dyDescent="0.25">
      <c r="B56" s="16" t="s">
        <v>331</v>
      </c>
      <c r="C56" t="s">
        <v>332</v>
      </c>
    </row>
    <row r="57" spans="2:3" x14ac:dyDescent="0.25">
      <c r="B57" s="16" t="s">
        <v>604</v>
      </c>
      <c r="C57" t="s">
        <v>605</v>
      </c>
    </row>
    <row r="58" spans="2:3" x14ac:dyDescent="0.25">
      <c r="B58" s="16" t="s">
        <v>430</v>
      </c>
      <c r="C58" t="s">
        <v>431</v>
      </c>
    </row>
    <row r="59" spans="2:3" x14ac:dyDescent="0.25">
      <c r="B59" s="16" t="s">
        <v>527</v>
      </c>
      <c r="C59" t="s">
        <v>528</v>
      </c>
    </row>
    <row r="60" spans="2:3" x14ac:dyDescent="0.25">
      <c r="B60" s="16" t="s">
        <v>159</v>
      </c>
      <c r="C60" t="s">
        <v>160</v>
      </c>
    </row>
    <row r="61" spans="2:3" x14ac:dyDescent="0.25">
      <c r="B61" s="16" t="s">
        <v>451</v>
      </c>
      <c r="C61" t="s">
        <v>452</v>
      </c>
    </row>
    <row r="62" spans="2:3" x14ac:dyDescent="0.25">
      <c r="B62" s="16" t="s">
        <v>666</v>
      </c>
      <c r="C62" t="s">
        <v>667</v>
      </c>
    </row>
    <row r="63" spans="2:3" x14ac:dyDescent="0.25">
      <c r="B63" s="16" t="s">
        <v>567</v>
      </c>
      <c r="C63" t="s">
        <v>568</v>
      </c>
    </row>
    <row r="64" spans="2:3" x14ac:dyDescent="0.25">
      <c r="B64" s="16" t="s">
        <v>650</v>
      </c>
      <c r="C64" t="s">
        <v>651</v>
      </c>
    </row>
    <row r="65" spans="2:3" x14ac:dyDescent="0.25">
      <c r="B65" s="16" t="s">
        <v>377</v>
      </c>
      <c r="C65" t="s">
        <v>378</v>
      </c>
    </row>
    <row r="66" spans="2:3" x14ac:dyDescent="0.25">
      <c r="B66" s="16" t="s">
        <v>438</v>
      </c>
      <c r="C66" t="s">
        <v>439</v>
      </c>
    </row>
    <row r="67" spans="2:3" x14ac:dyDescent="0.25">
      <c r="B67" s="16" t="s">
        <v>662</v>
      </c>
      <c r="C67" t="s">
        <v>663</v>
      </c>
    </row>
    <row r="68" spans="2:3" x14ac:dyDescent="0.25">
      <c r="B68" s="16" t="s">
        <v>291</v>
      </c>
      <c r="C68" t="s">
        <v>292</v>
      </c>
    </row>
    <row r="69" spans="2:3" x14ac:dyDescent="0.25">
      <c r="B69" s="16" t="s">
        <v>635</v>
      </c>
      <c r="C69" t="s">
        <v>636</v>
      </c>
    </row>
    <row r="70" spans="2:3" x14ac:dyDescent="0.25">
      <c r="B70" s="16" t="s">
        <v>483</v>
      </c>
      <c r="C70" t="s">
        <v>484</v>
      </c>
    </row>
    <row r="71" spans="2:3" x14ac:dyDescent="0.25">
      <c r="B71" s="16" t="s">
        <v>553</v>
      </c>
      <c r="C71" t="s">
        <v>554</v>
      </c>
    </row>
    <row r="72" spans="2:3" x14ac:dyDescent="0.25">
      <c r="B72" s="16" t="s">
        <v>310</v>
      </c>
      <c r="C72" t="s">
        <v>311</v>
      </c>
    </row>
    <row r="73" spans="2:3" x14ac:dyDescent="0.25">
      <c r="B73" s="16" t="s">
        <v>523</v>
      </c>
      <c r="C73" t="s">
        <v>524</v>
      </c>
    </row>
    <row r="74" spans="2:3" x14ac:dyDescent="0.25">
      <c r="B74" s="16" t="s">
        <v>266</v>
      </c>
      <c r="C74" t="s">
        <v>267</v>
      </c>
    </row>
    <row r="75" spans="2:3" x14ac:dyDescent="0.25">
      <c r="B75" s="16" t="s">
        <v>247</v>
      </c>
      <c r="C75" t="s">
        <v>248</v>
      </c>
    </row>
    <row r="76" spans="2:3" x14ac:dyDescent="0.25">
      <c r="B76" s="16" t="s">
        <v>473</v>
      </c>
      <c r="C76" t="s">
        <v>474</v>
      </c>
    </row>
    <row r="77" spans="2:3" x14ac:dyDescent="0.25">
      <c r="B77" s="16" t="s">
        <v>582</v>
      </c>
      <c r="C77" t="s">
        <v>583</v>
      </c>
    </row>
    <row r="78" spans="2:3" x14ac:dyDescent="0.25">
      <c r="B78" s="16" t="s">
        <v>295</v>
      </c>
      <c r="C78" t="s">
        <v>296</v>
      </c>
    </row>
    <row r="79" spans="2:3" x14ac:dyDescent="0.25">
      <c r="B79" s="16" t="s">
        <v>227</v>
      </c>
      <c r="C79" t="s">
        <v>228</v>
      </c>
    </row>
    <row r="80" spans="2:3" x14ac:dyDescent="0.25">
      <c r="B80" s="16" t="s">
        <v>529</v>
      </c>
      <c r="C80" t="s">
        <v>530</v>
      </c>
    </row>
    <row r="81" spans="2:3" x14ac:dyDescent="0.25">
      <c r="B81" s="16" t="s">
        <v>632</v>
      </c>
      <c r="C81" t="s">
        <v>633</v>
      </c>
    </row>
    <row r="82" spans="2:3" x14ac:dyDescent="0.25">
      <c r="B82" s="16" t="s">
        <v>161</v>
      </c>
      <c r="C82" t="s">
        <v>162</v>
      </c>
    </row>
    <row r="83" spans="2:3" x14ac:dyDescent="0.25">
      <c r="B83" s="16" t="s">
        <v>400</v>
      </c>
      <c r="C83" t="s">
        <v>401</v>
      </c>
    </row>
    <row r="84" spans="2:3" x14ac:dyDescent="0.25">
      <c r="B84" s="16" t="s">
        <v>380</v>
      </c>
      <c r="C84" t="s">
        <v>381</v>
      </c>
    </row>
    <row r="85" spans="2:3" x14ac:dyDescent="0.25">
      <c r="B85" s="16" t="s">
        <v>129</v>
      </c>
      <c r="C85" t="s">
        <v>130</v>
      </c>
    </row>
    <row r="86" spans="2:3" x14ac:dyDescent="0.25">
      <c r="B86" s="16" t="s">
        <v>497</v>
      </c>
      <c r="C86" t="s">
        <v>498</v>
      </c>
    </row>
    <row r="87" spans="2:3" x14ac:dyDescent="0.25">
      <c r="B87" s="16" t="s">
        <v>493</v>
      </c>
      <c r="C87" t="s">
        <v>494</v>
      </c>
    </row>
    <row r="88" spans="2:3" x14ac:dyDescent="0.25">
      <c r="B88" s="16" t="s">
        <v>682</v>
      </c>
      <c r="C88" t="s">
        <v>683</v>
      </c>
    </row>
    <row r="89" spans="2:3" x14ac:dyDescent="0.25">
      <c r="B89" s="16" t="s">
        <v>653</v>
      </c>
      <c r="C89" t="s">
        <v>654</v>
      </c>
    </row>
    <row r="90" spans="2:3" x14ac:dyDescent="0.25">
      <c r="B90" s="16" t="s">
        <v>619</v>
      </c>
      <c r="C90" t="s">
        <v>620</v>
      </c>
    </row>
    <row r="91" spans="2:3" x14ac:dyDescent="0.25">
      <c r="B91" s="16" t="s">
        <v>414</v>
      </c>
      <c r="C91" t="s">
        <v>415</v>
      </c>
    </row>
    <row r="92" spans="2:3" x14ac:dyDescent="0.25">
      <c r="B92" s="16" t="s">
        <v>411</v>
      </c>
      <c r="C92" t="s">
        <v>412</v>
      </c>
    </row>
    <row r="93" spans="2:3" x14ac:dyDescent="0.25">
      <c r="B93" s="16" t="s">
        <v>677</v>
      </c>
      <c r="C93" t="s">
        <v>678</v>
      </c>
    </row>
    <row r="94" spans="2:3" x14ac:dyDescent="0.25">
      <c r="B94" s="16" t="s">
        <v>171</v>
      </c>
      <c r="C94" t="s">
        <v>172</v>
      </c>
    </row>
    <row r="95" spans="2:3" x14ac:dyDescent="0.25">
      <c r="B95" s="16" t="s">
        <v>165</v>
      </c>
      <c r="C95" t="s">
        <v>166</v>
      </c>
    </row>
    <row r="96" spans="2:3" x14ac:dyDescent="0.25">
      <c r="B96" s="16" t="s">
        <v>616</v>
      </c>
      <c r="C96" t="s">
        <v>617</v>
      </c>
    </row>
    <row r="97" spans="2:3" x14ac:dyDescent="0.25">
      <c r="B97" s="16" t="s">
        <v>647</v>
      </c>
      <c r="C97" t="s">
        <v>648</v>
      </c>
    </row>
    <row r="98" spans="2:3" x14ac:dyDescent="0.25">
      <c r="B98" s="16" t="s">
        <v>270</v>
      </c>
      <c r="C98" t="s">
        <v>271</v>
      </c>
    </row>
    <row r="99" spans="2:3" x14ac:dyDescent="0.25">
      <c r="B99" s="16" t="s">
        <v>408</v>
      </c>
      <c r="C99" t="s">
        <v>409</v>
      </c>
    </row>
    <row r="100" spans="2:3" x14ac:dyDescent="0.25">
      <c r="B100" s="16" t="s">
        <v>640</v>
      </c>
      <c r="C100" t="s">
        <v>641</v>
      </c>
    </row>
    <row r="101" spans="2:3" x14ac:dyDescent="0.25">
      <c r="B101" s="16" t="s">
        <v>383</v>
      </c>
      <c r="C101" t="s">
        <v>384</v>
      </c>
    </row>
    <row r="102" spans="2:3" x14ac:dyDescent="0.25">
      <c r="B102" s="16" t="s">
        <v>283</v>
      </c>
      <c r="C102" t="s">
        <v>284</v>
      </c>
    </row>
    <row r="103" spans="2:3" x14ac:dyDescent="0.25">
      <c r="B103" s="16" t="s">
        <v>525</v>
      </c>
      <c r="C103" t="s">
        <v>526</v>
      </c>
    </row>
    <row r="104" spans="2:3" x14ac:dyDescent="0.25">
      <c r="B104" s="16" t="s">
        <v>695</v>
      </c>
      <c r="C104" t="s">
        <v>696</v>
      </c>
    </row>
    <row r="105" spans="2:3" x14ac:dyDescent="0.25">
      <c r="B105" s="16" t="s">
        <v>579</v>
      </c>
      <c r="C105" t="s">
        <v>580</v>
      </c>
    </row>
    <row r="106" spans="2:3" x14ac:dyDescent="0.25">
      <c r="B106" s="16" t="s">
        <v>76</v>
      </c>
      <c r="C106" t="s">
        <v>74</v>
      </c>
    </row>
    <row r="107" spans="2:3" x14ac:dyDescent="0.25">
      <c r="B107" s="16" t="s">
        <v>395</v>
      </c>
      <c r="C107" t="s">
        <v>396</v>
      </c>
    </row>
    <row r="108" spans="2:3" x14ac:dyDescent="0.25">
      <c r="B108" s="16" t="s">
        <v>685</v>
      </c>
      <c r="C108" t="s">
        <v>686</v>
      </c>
    </row>
    <row r="109" spans="2:3" x14ac:dyDescent="0.25">
      <c r="B109" s="16" t="s">
        <v>154</v>
      </c>
      <c r="C109" t="s">
        <v>155</v>
      </c>
    </row>
    <row r="110" spans="2:3" x14ac:dyDescent="0.25">
      <c r="B110" s="16" t="s">
        <v>514</v>
      </c>
      <c r="C110" t="s">
        <v>515</v>
      </c>
    </row>
    <row r="111" spans="2:3" x14ac:dyDescent="0.25">
      <c r="B111" s="16" t="s">
        <v>321</v>
      </c>
      <c r="C111" t="s">
        <v>322</v>
      </c>
    </row>
    <row r="112" spans="2:3" x14ac:dyDescent="0.25">
      <c r="B112" s="16" t="s">
        <v>442</v>
      </c>
      <c r="C112" t="s">
        <v>443</v>
      </c>
    </row>
    <row r="113" spans="2:3" x14ac:dyDescent="0.25">
      <c r="B113" s="16" t="s">
        <v>702</v>
      </c>
      <c r="C113" t="s">
        <v>703</v>
      </c>
    </row>
    <row r="114" spans="2:3" x14ac:dyDescent="0.25">
      <c r="B114" s="16" t="s">
        <v>710</v>
      </c>
      <c r="C114" t="s">
        <v>711</v>
      </c>
    </row>
    <row r="115" spans="2:3" x14ac:dyDescent="0.25">
      <c r="B115" s="16" t="s">
        <v>713</v>
      </c>
      <c r="C115" t="s">
        <v>714</v>
      </c>
    </row>
    <row r="116" spans="2:3" x14ac:dyDescent="0.25">
      <c r="B116" s="16" t="s">
        <v>716</v>
      </c>
      <c r="C116" t="s">
        <v>717</v>
      </c>
    </row>
    <row r="117" spans="2:3" x14ac:dyDescent="0.25">
      <c r="B117" s="16" t="s">
        <v>723</v>
      </c>
      <c r="C117" t="s">
        <v>724</v>
      </c>
    </row>
    <row r="118" spans="2:3" x14ac:dyDescent="0.25">
      <c r="B118" s="16" t="s">
        <v>730</v>
      </c>
      <c r="C118" t="s">
        <v>729</v>
      </c>
    </row>
    <row r="119" spans="2:3" x14ac:dyDescent="0.25">
      <c r="B119" s="16" t="s">
        <v>735</v>
      </c>
      <c r="C119" t="s">
        <v>736</v>
      </c>
    </row>
    <row r="120" spans="2:3" x14ac:dyDescent="0.25">
      <c r="B120" s="16" t="s">
        <v>738</v>
      </c>
      <c r="C120" t="s">
        <v>739</v>
      </c>
    </row>
    <row r="121" spans="2:3" x14ac:dyDescent="0.25">
      <c r="B121" s="16" t="s">
        <v>740</v>
      </c>
      <c r="C121" t="s">
        <v>741</v>
      </c>
    </row>
    <row r="122" spans="2:3" x14ac:dyDescent="0.25">
      <c r="B122" s="16" t="s">
        <v>742</v>
      </c>
      <c r="C122" t="s">
        <v>743</v>
      </c>
    </row>
    <row r="123" spans="2:3" x14ac:dyDescent="0.25">
      <c r="B123" s="16" t="s">
        <v>753</v>
      </c>
      <c r="C123" t="s">
        <v>754</v>
      </c>
    </row>
    <row r="124" spans="2:3" x14ac:dyDescent="0.25">
      <c r="B124" s="16" t="s">
        <v>756</v>
      </c>
      <c r="C124" t="s">
        <v>757</v>
      </c>
    </row>
    <row r="125" spans="2:3" x14ac:dyDescent="0.25">
      <c r="B125" s="16" t="s">
        <v>761</v>
      </c>
      <c r="C125" t="s">
        <v>762</v>
      </c>
    </row>
    <row r="126" spans="2:3" x14ac:dyDescent="0.25">
      <c r="B126" s="16" t="s">
        <v>764</v>
      </c>
      <c r="C126" t="s">
        <v>765</v>
      </c>
    </row>
    <row r="127" spans="2:3" x14ac:dyDescent="0.25">
      <c r="B127" s="16" t="s">
        <v>771</v>
      </c>
      <c r="C127" t="s">
        <v>772</v>
      </c>
    </row>
    <row r="128" spans="2:3" x14ac:dyDescent="0.25">
      <c r="B128" s="16" t="s">
        <v>774</v>
      </c>
      <c r="C128" t="s">
        <v>775</v>
      </c>
    </row>
    <row r="129" spans="2:3" x14ac:dyDescent="0.25">
      <c r="B129" s="16" t="s">
        <v>779</v>
      </c>
      <c r="C129" t="s">
        <v>780</v>
      </c>
    </row>
    <row r="130" spans="2:3" x14ac:dyDescent="0.25">
      <c r="B130" s="16" t="s">
        <v>783</v>
      </c>
      <c r="C130" t="s">
        <v>784</v>
      </c>
    </row>
    <row r="131" spans="2:3" x14ac:dyDescent="0.25">
      <c r="B131" s="16" t="s">
        <v>792</v>
      </c>
      <c r="C131" t="s">
        <v>793</v>
      </c>
    </row>
    <row r="132" spans="2:3" x14ac:dyDescent="0.25">
      <c r="B132" s="16" t="s">
        <v>801</v>
      </c>
      <c r="C132" t="s">
        <v>802</v>
      </c>
    </row>
    <row r="133" spans="2:3" x14ac:dyDescent="0.25">
      <c r="B133" s="16" t="s">
        <v>806</v>
      </c>
      <c r="C133" t="s">
        <v>807</v>
      </c>
    </row>
    <row r="134" spans="2:3" x14ac:dyDescent="0.25">
      <c r="B134" s="16" t="s">
        <v>811</v>
      </c>
      <c r="C134" t="s">
        <v>812</v>
      </c>
    </row>
    <row r="135" spans="2:3" x14ac:dyDescent="0.25">
      <c r="B135" s="16" t="s">
        <v>817</v>
      </c>
      <c r="C135" t="s">
        <v>818</v>
      </c>
    </row>
    <row r="136" spans="2:3" x14ac:dyDescent="0.25">
      <c r="B136" s="16" t="s">
        <v>838</v>
      </c>
      <c r="C136" t="s">
        <v>839</v>
      </c>
    </row>
    <row r="137" spans="2:3" x14ac:dyDescent="0.25">
      <c r="B137" s="16" t="s">
        <v>842</v>
      </c>
      <c r="C137" t="s">
        <v>843</v>
      </c>
    </row>
    <row r="138" spans="2:3" x14ac:dyDescent="0.25">
      <c r="B138" s="16" t="s">
        <v>845</v>
      </c>
      <c r="C138" t="s">
        <v>846</v>
      </c>
    </row>
    <row r="139" spans="2:3" x14ac:dyDescent="0.25">
      <c r="B139" s="16" t="s">
        <v>850</v>
      </c>
      <c r="C139" t="s">
        <v>851</v>
      </c>
    </row>
    <row r="140" spans="2:3" x14ac:dyDescent="0.25">
      <c r="B140" s="16" t="s">
        <v>856</v>
      </c>
      <c r="C140" t="s">
        <v>857</v>
      </c>
    </row>
    <row r="141" spans="2:3" x14ac:dyDescent="0.25">
      <c r="B141" s="16" t="s">
        <v>859</v>
      </c>
      <c r="C141" t="s">
        <v>860</v>
      </c>
    </row>
    <row r="142" spans="2:3" x14ac:dyDescent="0.25">
      <c r="B142" s="16" t="s">
        <v>862</v>
      </c>
      <c r="C142" t="s">
        <v>863</v>
      </c>
    </row>
    <row r="143" spans="2:3" x14ac:dyDescent="0.25">
      <c r="B143" s="16" t="s">
        <v>868</v>
      </c>
      <c r="C143" t="s">
        <v>869</v>
      </c>
    </row>
    <row r="144" spans="2:3" x14ac:dyDescent="0.25">
      <c r="B144" s="16" t="s">
        <v>871</v>
      </c>
      <c r="C144" t="s">
        <v>872</v>
      </c>
    </row>
    <row r="145" spans="2:3" x14ac:dyDescent="0.25">
      <c r="B145" s="16" t="s">
        <v>879</v>
      </c>
      <c r="C145" t="s">
        <v>880</v>
      </c>
    </row>
    <row r="146" spans="2:3" x14ac:dyDescent="0.25">
      <c r="B146" s="16" t="s">
        <v>883</v>
      </c>
      <c r="C146" t="s">
        <v>884</v>
      </c>
    </row>
    <row r="147" spans="2:3" x14ac:dyDescent="0.25">
      <c r="B147" s="16" t="s">
        <v>888</v>
      </c>
      <c r="C147" t="s">
        <v>889</v>
      </c>
    </row>
    <row r="148" spans="2:3" x14ac:dyDescent="0.25">
      <c r="B148" s="16" t="s">
        <v>891</v>
      </c>
      <c r="C148" t="s">
        <v>892</v>
      </c>
    </row>
    <row r="149" spans="2:3" x14ac:dyDescent="0.25">
      <c r="B149" s="16" t="s">
        <v>904</v>
      </c>
      <c r="C149" t="s">
        <v>905</v>
      </c>
    </row>
    <row r="150" spans="2:3" x14ac:dyDescent="0.25">
      <c r="B150" s="16" t="s">
        <v>910</v>
      </c>
      <c r="C150" t="s">
        <v>911</v>
      </c>
    </row>
    <row r="151" spans="2:3" x14ac:dyDescent="0.25">
      <c r="B151" s="16" t="s">
        <v>914</v>
      </c>
      <c r="C151" t="s">
        <v>915</v>
      </c>
    </row>
    <row r="152" spans="2:3" x14ac:dyDescent="0.25">
      <c r="B152" s="16" t="s">
        <v>922</v>
      </c>
      <c r="C152" t="s">
        <v>923</v>
      </c>
    </row>
    <row r="153" spans="2:3" x14ac:dyDescent="0.25">
      <c r="B153" s="16" t="s">
        <v>928</v>
      </c>
      <c r="C153" t="s">
        <v>929</v>
      </c>
    </row>
    <row r="154" spans="2:3" x14ac:dyDescent="0.25">
      <c r="B154" s="16" t="s">
        <v>932</v>
      </c>
      <c r="C154" t="s">
        <v>933</v>
      </c>
    </row>
    <row r="155" spans="2:3" x14ac:dyDescent="0.25">
      <c r="B155" s="16" t="s">
        <v>935</v>
      </c>
      <c r="C155" t="s">
        <v>936</v>
      </c>
    </row>
    <row r="156" spans="2:3" x14ac:dyDescent="0.25">
      <c r="B156" s="16" t="s">
        <v>942</v>
      </c>
      <c r="C156" t="s">
        <v>943</v>
      </c>
    </row>
    <row r="157" spans="2:3" x14ac:dyDescent="0.25">
      <c r="B157" s="16" t="s">
        <v>947</v>
      </c>
      <c r="C157" t="s">
        <v>948</v>
      </c>
    </row>
    <row r="158" spans="2:3" x14ac:dyDescent="0.25">
      <c r="B158" s="16" t="s">
        <v>955</v>
      </c>
      <c r="C158" t="s">
        <v>956</v>
      </c>
    </row>
    <row r="159" spans="2:3" x14ac:dyDescent="0.25">
      <c r="B159" s="16" t="s">
        <v>958</v>
      </c>
      <c r="C159" t="s">
        <v>959</v>
      </c>
    </row>
    <row r="160" spans="2:3" x14ac:dyDescent="0.25">
      <c r="B160" s="16" t="s">
        <v>961</v>
      </c>
      <c r="C160" t="s">
        <v>962</v>
      </c>
    </row>
    <row r="161" spans="2:3" x14ac:dyDescent="0.25">
      <c r="B161" s="16" t="s">
        <v>968</v>
      </c>
      <c r="C161" t="s">
        <v>969</v>
      </c>
    </row>
    <row r="162" spans="2:3" x14ac:dyDescent="0.25">
      <c r="B162" s="16" t="s">
        <v>973</v>
      </c>
      <c r="C162" t="s">
        <v>974</v>
      </c>
    </row>
    <row r="163" spans="2:3" x14ac:dyDescent="0.25">
      <c r="B163" s="16" t="s">
        <v>977</v>
      </c>
      <c r="C163" t="s">
        <v>978</v>
      </c>
    </row>
    <row r="164" spans="2:3" x14ac:dyDescent="0.25">
      <c r="B164" s="16" t="s">
        <v>983</v>
      </c>
      <c r="C164" t="s">
        <v>984</v>
      </c>
    </row>
    <row r="165" spans="2:3" x14ac:dyDescent="0.25">
      <c r="B165" s="16" t="s">
        <v>987</v>
      </c>
      <c r="C165" t="s">
        <v>988</v>
      </c>
    </row>
    <row r="166" spans="2:3" x14ac:dyDescent="0.25">
      <c r="B166" s="16" t="s">
        <v>993</v>
      </c>
      <c r="C166" t="s">
        <v>994</v>
      </c>
    </row>
    <row r="167" spans="2:3" x14ac:dyDescent="0.25">
      <c r="B167" s="16" t="s">
        <v>996</v>
      </c>
      <c r="C167" t="s">
        <v>997</v>
      </c>
    </row>
    <row r="168" spans="2:3" x14ac:dyDescent="0.25">
      <c r="B168" s="16" t="s">
        <v>1000</v>
      </c>
      <c r="C168" t="s">
        <v>1001</v>
      </c>
    </row>
    <row r="169" spans="2:3" x14ac:dyDescent="0.25">
      <c r="B169" s="16" t="s">
        <v>1006</v>
      </c>
      <c r="C169" t="s">
        <v>1007</v>
      </c>
    </row>
    <row r="170" spans="2:3" x14ac:dyDescent="0.25">
      <c r="B170" s="16" t="s">
        <v>1012</v>
      </c>
      <c r="C170" t="s">
        <v>1013</v>
      </c>
    </row>
    <row r="171" spans="2:3" x14ac:dyDescent="0.25">
      <c r="B171" s="16" t="s">
        <v>1016</v>
      </c>
      <c r="C171" t="s">
        <v>1017</v>
      </c>
    </row>
    <row r="172" spans="2:3" x14ac:dyDescent="0.25">
      <c r="B172" s="16" t="s">
        <v>1020</v>
      </c>
      <c r="C172" t="s">
        <v>1021</v>
      </c>
    </row>
    <row r="173" spans="2:3" x14ac:dyDescent="0.25">
      <c r="B173" s="16" t="s">
        <v>1024</v>
      </c>
      <c r="C173" t="s">
        <v>1025</v>
      </c>
    </row>
    <row r="174" spans="2:3" x14ac:dyDescent="0.25">
      <c r="B174" s="16" t="s">
        <v>1032</v>
      </c>
      <c r="C174" t="s">
        <v>1033</v>
      </c>
    </row>
    <row r="175" spans="2:3" x14ac:dyDescent="0.25">
      <c r="B175" s="16" t="s">
        <v>1036</v>
      </c>
      <c r="C175" t="s">
        <v>1037</v>
      </c>
    </row>
    <row r="176" spans="2:3" x14ac:dyDescent="0.25">
      <c r="B176" s="16" t="s">
        <v>1041</v>
      </c>
      <c r="C176" t="s">
        <v>1042</v>
      </c>
    </row>
    <row r="177" spans="2:3" x14ac:dyDescent="0.25">
      <c r="B177" s="16" t="s">
        <v>1050</v>
      </c>
      <c r="C177" t="s">
        <v>1051</v>
      </c>
    </row>
    <row r="178" spans="2:3" x14ac:dyDescent="0.25">
      <c r="B178" s="16" t="s">
        <v>1054</v>
      </c>
      <c r="C178" t="s">
        <v>1055</v>
      </c>
    </row>
    <row r="179" spans="2:3" x14ac:dyDescent="0.25">
      <c r="B179" s="16" t="s">
        <v>1058</v>
      </c>
      <c r="C179" t="s">
        <v>1059</v>
      </c>
    </row>
    <row r="180" spans="2:3" x14ac:dyDescent="0.25">
      <c r="B180" s="16" t="s">
        <v>1063</v>
      </c>
      <c r="C180" t="s">
        <v>1064</v>
      </c>
    </row>
    <row r="181" spans="2:3" x14ac:dyDescent="0.25">
      <c r="B181" s="16" t="s">
        <v>1066</v>
      </c>
      <c r="C181" t="s">
        <v>1067</v>
      </c>
    </row>
    <row r="182" spans="2:3" x14ac:dyDescent="0.25">
      <c r="B182" s="16" t="s">
        <v>1072</v>
      </c>
      <c r="C182" t="s">
        <v>1073</v>
      </c>
    </row>
    <row r="183" spans="2:3" x14ac:dyDescent="0.25">
      <c r="B183" s="16" t="s">
        <v>1075</v>
      </c>
      <c r="C183" t="s">
        <v>1076</v>
      </c>
    </row>
    <row r="184" spans="2:3" x14ac:dyDescent="0.25">
      <c r="B184" s="16" t="s">
        <v>1082</v>
      </c>
      <c r="C184" t="s">
        <v>1083</v>
      </c>
    </row>
    <row r="185" spans="2:3" x14ac:dyDescent="0.25">
      <c r="B185" s="16" t="s">
        <v>1086</v>
      </c>
      <c r="C185" t="s">
        <v>1087</v>
      </c>
    </row>
    <row r="186" spans="2:3" x14ac:dyDescent="0.25">
      <c r="B186" s="16" t="s">
        <v>1092</v>
      </c>
      <c r="C186" t="s">
        <v>1093</v>
      </c>
    </row>
    <row r="187" spans="2:3" x14ac:dyDescent="0.25">
      <c r="B187" s="16" t="s">
        <v>1096</v>
      </c>
      <c r="C187" t="s">
        <v>1097</v>
      </c>
    </row>
    <row r="188" spans="2:3" x14ac:dyDescent="0.25">
      <c r="B188" s="16" t="s">
        <v>1100</v>
      </c>
      <c r="C188" t="s">
        <v>1101</v>
      </c>
    </row>
    <row r="189" spans="2:3" x14ac:dyDescent="0.25">
      <c r="B189" s="16" t="s">
        <v>1104</v>
      </c>
      <c r="C189" t="s">
        <v>1105</v>
      </c>
    </row>
    <row r="190" spans="2:3" x14ac:dyDescent="0.25">
      <c r="B190" s="16" t="s">
        <v>1107</v>
      </c>
      <c r="C190" t="s">
        <v>1108</v>
      </c>
    </row>
    <row r="191" spans="2:3" x14ac:dyDescent="0.25">
      <c r="B191" s="16" t="s">
        <v>1110</v>
      </c>
      <c r="C191" t="s">
        <v>1111</v>
      </c>
    </row>
    <row r="192" spans="2:3" x14ac:dyDescent="0.25">
      <c r="B192" s="16" t="s">
        <v>1115</v>
      </c>
      <c r="C192" t="s">
        <v>1116</v>
      </c>
    </row>
    <row r="193" spans="2:3" x14ac:dyDescent="0.25">
      <c r="B193" s="16" t="s">
        <v>1118</v>
      </c>
      <c r="C193" t="s">
        <v>1119</v>
      </c>
    </row>
    <row r="194" spans="2:3" x14ac:dyDescent="0.25">
      <c r="B194" s="16" t="s">
        <v>1124</v>
      </c>
      <c r="C194" t="s">
        <v>1125</v>
      </c>
    </row>
    <row r="195" spans="2:3" x14ac:dyDescent="0.25">
      <c r="B195" s="16" t="s">
        <v>1128</v>
      </c>
      <c r="C195" t="s">
        <v>1129</v>
      </c>
    </row>
    <row r="196" spans="2:3" x14ac:dyDescent="0.25">
      <c r="B196" s="16" t="s">
        <v>1134</v>
      </c>
      <c r="C196" t="s">
        <v>1135</v>
      </c>
    </row>
    <row r="197" spans="2:3" x14ac:dyDescent="0.25">
      <c r="B197" s="16" t="s">
        <v>1137</v>
      </c>
      <c r="C197" t="s">
        <v>1138</v>
      </c>
    </row>
    <row r="198" spans="2:3" x14ac:dyDescent="0.25">
      <c r="B198" s="16" t="s">
        <v>1144</v>
      </c>
      <c r="C198" t="s">
        <v>1145</v>
      </c>
    </row>
    <row r="199" spans="2:3" x14ac:dyDescent="0.25">
      <c r="B199" s="16" t="s">
        <v>1151</v>
      </c>
      <c r="C199" t="s">
        <v>1152</v>
      </c>
    </row>
    <row r="200" spans="2:3" x14ac:dyDescent="0.25">
      <c r="B200" s="16" t="s">
        <v>1154</v>
      </c>
      <c r="C200" t="s">
        <v>1155</v>
      </c>
    </row>
    <row r="201" spans="2:3" x14ac:dyDescent="0.25">
      <c r="B201" s="16" t="s">
        <v>1163</v>
      </c>
      <c r="C201" t="s">
        <v>1164</v>
      </c>
    </row>
    <row r="202" spans="2:3" x14ac:dyDescent="0.25">
      <c r="B202" s="16" t="s">
        <v>1166</v>
      </c>
      <c r="C202" t="s">
        <v>1167</v>
      </c>
    </row>
    <row r="203" spans="2:3" x14ac:dyDescent="0.25">
      <c r="B203" s="16" t="s">
        <v>1176</v>
      </c>
      <c r="C203" t="s">
        <v>1177</v>
      </c>
    </row>
    <row r="204" spans="2:3" x14ac:dyDescent="0.25">
      <c r="B204" s="16" t="s">
        <v>1173</v>
      </c>
      <c r="C204" t="s">
        <v>1174</v>
      </c>
    </row>
    <row r="205" spans="2:3" x14ac:dyDescent="0.25">
      <c r="B205" s="16" t="s">
        <v>1182</v>
      </c>
      <c r="C205" t="s">
        <v>1183</v>
      </c>
    </row>
    <row r="206" spans="2:3" x14ac:dyDescent="0.25">
      <c r="B206" s="16" t="s">
        <v>1190</v>
      </c>
      <c r="C206" t="s">
        <v>1191</v>
      </c>
    </row>
    <row r="207" spans="2:3" x14ac:dyDescent="0.25">
      <c r="B207" s="16" t="s">
        <v>1196</v>
      </c>
      <c r="C207" t="s">
        <v>1197</v>
      </c>
    </row>
    <row r="208" spans="2:3" x14ac:dyDescent="0.25">
      <c r="B208" s="16" t="s">
        <v>1202</v>
      </c>
      <c r="C208" t="s">
        <v>1203</v>
      </c>
    </row>
    <row r="209" spans="2:3" x14ac:dyDescent="0.25">
      <c r="B209" s="16" t="s">
        <v>1208</v>
      </c>
      <c r="C209" t="s">
        <v>1209</v>
      </c>
    </row>
    <row r="210" spans="2:3" x14ac:dyDescent="0.25">
      <c r="B210" s="16" t="s">
        <v>1211</v>
      </c>
      <c r="C210" t="s">
        <v>1212</v>
      </c>
    </row>
    <row r="211" spans="2:3" x14ac:dyDescent="0.25">
      <c r="B211" s="16" t="s">
        <v>1215</v>
      </c>
      <c r="C211" t="s">
        <v>1216</v>
      </c>
    </row>
    <row r="212" spans="2:3" x14ac:dyDescent="0.25">
      <c r="B212" s="16" t="s">
        <v>1224</v>
      </c>
      <c r="C212" t="s">
        <v>1225</v>
      </c>
    </row>
    <row r="213" spans="2:3" x14ac:dyDescent="0.25">
      <c r="B213" s="16" t="s">
        <v>1227</v>
      </c>
      <c r="C213" t="s">
        <v>1228</v>
      </c>
    </row>
    <row r="214" spans="2:3" x14ac:dyDescent="0.25">
      <c r="B214" s="16" t="s">
        <v>1234</v>
      </c>
      <c r="C214" t="s">
        <v>1235</v>
      </c>
    </row>
    <row r="215" spans="2:3" x14ac:dyDescent="0.25">
      <c r="B215" s="16" t="s">
        <v>1237</v>
      </c>
      <c r="C215" t="s">
        <v>1238</v>
      </c>
    </row>
    <row r="216" spans="2:3" x14ac:dyDescent="0.25">
      <c r="B216" s="16" t="s">
        <v>1240</v>
      </c>
      <c r="C216" t="s">
        <v>1241</v>
      </c>
    </row>
    <row r="217" spans="2:3" x14ac:dyDescent="0.25">
      <c r="B217" s="16" t="s">
        <v>1243</v>
      </c>
      <c r="C217" t="s">
        <v>1244</v>
      </c>
    </row>
    <row r="218" spans="2:3" x14ac:dyDescent="0.25">
      <c r="B218" s="16" t="s">
        <v>1246</v>
      </c>
      <c r="C218" t="s">
        <v>1247</v>
      </c>
    </row>
    <row r="219" spans="2:3" x14ac:dyDescent="0.25">
      <c r="B219" s="16" t="s">
        <v>1249</v>
      </c>
      <c r="C219" t="s">
        <v>1250</v>
      </c>
    </row>
    <row r="220" spans="2:3" x14ac:dyDescent="0.25">
      <c r="B220" s="16" t="s">
        <v>1252</v>
      </c>
      <c r="C220" t="s">
        <v>1253</v>
      </c>
    </row>
    <row r="221" spans="2:3" x14ac:dyDescent="0.25">
      <c r="B221" s="16" t="s">
        <v>1255</v>
      </c>
      <c r="C221" t="s">
        <v>1256</v>
      </c>
    </row>
    <row r="222" spans="2:3" x14ac:dyDescent="0.25">
      <c r="B222" s="16" t="s">
        <v>1266</v>
      </c>
      <c r="C222" t="s">
        <v>1267</v>
      </c>
    </row>
    <row r="223" spans="2:3" x14ac:dyDescent="0.25">
      <c r="B223" s="16" t="s">
        <v>1269</v>
      </c>
      <c r="C223" t="s">
        <v>1270</v>
      </c>
    </row>
    <row r="224" spans="2:3" x14ac:dyDescent="0.25">
      <c r="B224" s="16" t="s">
        <v>1277</v>
      </c>
      <c r="C224" t="s">
        <v>1278</v>
      </c>
    </row>
    <row r="225" spans="2:3" x14ac:dyDescent="0.25">
      <c r="B225" s="16" t="s">
        <v>1289</v>
      </c>
      <c r="C225" t="s">
        <v>1290</v>
      </c>
    </row>
    <row r="226" spans="2:3" x14ac:dyDescent="0.25">
      <c r="B226" s="16" t="s">
        <v>1293</v>
      </c>
      <c r="C226" t="s">
        <v>1294</v>
      </c>
    </row>
    <row r="227" spans="2:3" x14ac:dyDescent="0.25">
      <c r="B227" s="16" t="s">
        <v>1296</v>
      </c>
      <c r="C227" t="s">
        <v>1297</v>
      </c>
    </row>
    <row r="228" spans="2:3" x14ac:dyDescent="0.25">
      <c r="B228" s="16" t="s">
        <v>1307</v>
      </c>
      <c r="C228" t="s">
        <v>1308</v>
      </c>
    </row>
    <row r="229" spans="2:3" x14ac:dyDescent="0.25">
      <c r="B229" s="16" t="s">
        <v>1318</v>
      </c>
      <c r="C229" t="s">
        <v>1319</v>
      </c>
    </row>
    <row r="230" spans="2:3" x14ac:dyDescent="0.25">
      <c r="B230" s="16" t="s">
        <v>1321</v>
      </c>
      <c r="C230" t="s">
        <v>1322</v>
      </c>
    </row>
    <row r="231" spans="2:3" x14ac:dyDescent="0.25">
      <c r="B231" s="16" t="s">
        <v>1326</v>
      </c>
      <c r="C231" t="s">
        <v>1327</v>
      </c>
    </row>
    <row r="232" spans="2:3" x14ac:dyDescent="0.25">
      <c r="B232" s="16" t="s">
        <v>1330</v>
      </c>
      <c r="C232" t="s">
        <v>1331</v>
      </c>
    </row>
    <row r="233" spans="2:3" x14ac:dyDescent="0.25">
      <c r="B233" s="16" t="s">
        <v>1338</v>
      </c>
      <c r="C233" t="s">
        <v>1339</v>
      </c>
    </row>
    <row r="234" spans="2:3" x14ac:dyDescent="0.25">
      <c r="B234" s="16" t="s">
        <v>1343</v>
      </c>
      <c r="C234" t="s">
        <v>1344</v>
      </c>
    </row>
    <row r="235" spans="2:3" x14ac:dyDescent="0.25">
      <c r="B235" s="16" t="s">
        <v>1347</v>
      </c>
      <c r="C235" t="s">
        <v>1348</v>
      </c>
    </row>
    <row r="236" spans="2:3" x14ac:dyDescent="0.25">
      <c r="B236" s="16" t="s">
        <v>1355</v>
      </c>
      <c r="C236" t="s">
        <v>1356</v>
      </c>
    </row>
    <row r="237" spans="2:3" x14ac:dyDescent="0.25">
      <c r="B237" s="16" t="s">
        <v>1365</v>
      </c>
      <c r="C237" t="s">
        <v>1366</v>
      </c>
    </row>
    <row r="238" spans="2:3" x14ac:dyDescent="0.25">
      <c r="B238" s="16" t="s">
        <v>1374</v>
      </c>
      <c r="C238" t="s">
        <v>1375</v>
      </c>
    </row>
    <row r="239" spans="2:3" x14ac:dyDescent="0.25">
      <c r="B239" s="16" t="s">
        <v>1379</v>
      </c>
      <c r="C239" t="s">
        <v>1380</v>
      </c>
    </row>
    <row r="240" spans="2:3" x14ac:dyDescent="0.25">
      <c r="B240" s="16" t="s">
        <v>1388</v>
      </c>
      <c r="C240" t="s">
        <v>1389</v>
      </c>
    </row>
    <row r="241" spans="2:3" x14ac:dyDescent="0.25">
      <c r="B241" s="16" t="s">
        <v>1393</v>
      </c>
      <c r="C241" t="s">
        <v>1394</v>
      </c>
    </row>
    <row r="242" spans="2:3" x14ac:dyDescent="0.25">
      <c r="B242" s="16" t="s">
        <v>1397</v>
      </c>
      <c r="C242" t="s">
        <v>1398</v>
      </c>
    </row>
    <row r="243" spans="2:3" x14ac:dyDescent="0.25">
      <c r="B243" s="16" t="s">
        <v>1401</v>
      </c>
      <c r="C243" t="s">
        <v>1402</v>
      </c>
    </row>
    <row r="244" spans="2:3" x14ac:dyDescent="0.25">
      <c r="B244" s="36" t="s">
        <v>1407</v>
      </c>
      <c r="C244" t="s">
        <v>1408</v>
      </c>
    </row>
    <row r="245" spans="2:3" x14ac:dyDescent="0.25">
      <c r="B245" s="16" t="s">
        <v>1410</v>
      </c>
      <c r="C245" t="s">
        <v>1411</v>
      </c>
    </row>
    <row r="246" spans="2:3" x14ac:dyDescent="0.25">
      <c r="B246" s="16" t="s">
        <v>1416</v>
      </c>
      <c r="C246" t="s">
        <v>1417</v>
      </c>
    </row>
    <row r="247" spans="2:3" x14ac:dyDescent="0.25">
      <c r="B247" s="16" t="s">
        <v>1420</v>
      </c>
      <c r="C247" t="s">
        <v>1421</v>
      </c>
    </row>
    <row r="248" spans="2:3" x14ac:dyDescent="0.25">
      <c r="B248" s="16" t="s">
        <v>1423</v>
      </c>
      <c r="C248" t="s">
        <v>1424</v>
      </c>
    </row>
    <row r="249" spans="2:3" x14ac:dyDescent="0.25">
      <c r="B249" s="16" t="s">
        <v>1426</v>
      </c>
      <c r="C249" t="s">
        <v>1427</v>
      </c>
    </row>
    <row r="250" spans="2:3" x14ac:dyDescent="0.25">
      <c r="B250" s="16" t="s">
        <v>1439</v>
      </c>
      <c r="C250" t="s">
        <v>1440</v>
      </c>
    </row>
    <row r="251" spans="2:3" x14ac:dyDescent="0.25">
      <c r="B251" s="16" t="s">
        <v>1442</v>
      </c>
      <c r="C251" t="s">
        <v>1443</v>
      </c>
    </row>
    <row r="252" spans="2:3" x14ac:dyDescent="0.25">
      <c r="B252" s="16" t="s">
        <v>1447</v>
      </c>
      <c r="C252" t="s">
        <v>1448</v>
      </c>
    </row>
    <row r="253" spans="2:3" x14ac:dyDescent="0.25">
      <c r="B253" s="16" t="s">
        <v>1451</v>
      </c>
      <c r="C253" t="s">
        <v>1452</v>
      </c>
    </row>
    <row r="254" spans="2:3" x14ac:dyDescent="0.25">
      <c r="B254" s="16" t="s">
        <v>1455</v>
      </c>
      <c r="C254" t="s">
        <v>1456</v>
      </c>
    </row>
    <row r="255" spans="2:3" x14ac:dyDescent="0.25">
      <c r="B255" s="16" t="s">
        <v>1461</v>
      </c>
      <c r="C255" t="s">
        <v>1462</v>
      </c>
    </row>
    <row r="256" spans="2:3" x14ac:dyDescent="0.25">
      <c r="B256" s="16" t="s">
        <v>1469</v>
      </c>
      <c r="C256" t="s">
        <v>1470</v>
      </c>
    </row>
    <row r="257" spans="2:3" x14ac:dyDescent="0.25">
      <c r="B257" s="16" t="s">
        <v>1474</v>
      </c>
      <c r="C257" t="s">
        <v>1475</v>
      </c>
    </row>
    <row r="258" spans="2:3" x14ac:dyDescent="0.25">
      <c r="B258" s="16" t="s">
        <v>1479</v>
      </c>
      <c r="C258" t="s">
        <v>1480</v>
      </c>
    </row>
    <row r="259" spans="2:3" x14ac:dyDescent="0.25">
      <c r="B259" s="16" t="s">
        <v>1485</v>
      </c>
      <c r="C259" t="s">
        <v>1486</v>
      </c>
    </row>
    <row r="260" spans="2:3" x14ac:dyDescent="0.25">
      <c r="B260" s="16" t="s">
        <v>1489</v>
      </c>
      <c r="C260" t="s">
        <v>1490</v>
      </c>
    </row>
    <row r="261" spans="2:3" x14ac:dyDescent="0.25">
      <c r="B261" s="16" t="s">
        <v>1493</v>
      </c>
      <c r="C261" t="s">
        <v>1494</v>
      </c>
    </row>
    <row r="262" spans="2:3" x14ac:dyDescent="0.25">
      <c r="B262" s="16" t="s">
        <v>1503</v>
      </c>
      <c r="C262" t="s">
        <v>1504</v>
      </c>
    </row>
    <row r="263" spans="2:3" x14ac:dyDescent="0.25">
      <c r="B263" s="16" t="s">
        <v>1507</v>
      </c>
      <c r="C263" t="s">
        <v>1508</v>
      </c>
    </row>
    <row r="264" spans="2:3" x14ac:dyDescent="0.25">
      <c r="B264" s="16" t="s">
        <v>1510</v>
      </c>
      <c r="C264" t="s">
        <v>1511</v>
      </c>
    </row>
    <row r="265" spans="2:3" x14ac:dyDescent="0.25">
      <c r="B265" s="16" t="s">
        <v>1516</v>
      </c>
      <c r="C265" t="s">
        <v>1517</v>
      </c>
    </row>
    <row r="266" spans="2:3" x14ac:dyDescent="0.25">
      <c r="B266" s="16" t="s">
        <v>1528</v>
      </c>
      <c r="C266" t="s">
        <v>1529</v>
      </c>
    </row>
    <row r="267" spans="2:3" x14ac:dyDescent="0.25">
      <c r="B267" s="16" t="s">
        <v>1533</v>
      </c>
      <c r="C267" t="s">
        <v>1534</v>
      </c>
    </row>
    <row r="268" spans="2:3" x14ac:dyDescent="0.25">
      <c r="B268" s="16" t="s">
        <v>1545</v>
      </c>
      <c r="C268" t="s">
        <v>1546</v>
      </c>
    </row>
    <row r="269" spans="2:3" x14ac:dyDescent="0.25">
      <c r="B269" s="16" t="s">
        <v>1549</v>
      </c>
      <c r="C269" t="s">
        <v>1550</v>
      </c>
    </row>
    <row r="270" spans="2:3" x14ac:dyDescent="0.25">
      <c r="B270" s="16" t="s">
        <v>1552</v>
      </c>
      <c r="C270" t="s">
        <v>1553</v>
      </c>
    </row>
    <row r="271" spans="2:3" x14ac:dyDescent="0.25">
      <c r="B271" s="16" t="s">
        <v>1556</v>
      </c>
      <c r="C271" t="s">
        <v>1557</v>
      </c>
    </row>
    <row r="272" spans="2:3" x14ac:dyDescent="0.25">
      <c r="B272" s="16" t="s">
        <v>1559</v>
      </c>
      <c r="C272" t="s">
        <v>1560</v>
      </c>
    </row>
    <row r="273" spans="2:3" x14ac:dyDescent="0.25">
      <c r="B273" s="16" t="s">
        <v>1562</v>
      </c>
      <c r="C273" t="s">
        <v>1563</v>
      </c>
    </row>
    <row r="274" spans="2:3" x14ac:dyDescent="0.25">
      <c r="B274" s="16" t="s">
        <v>1566</v>
      </c>
      <c r="C274" t="s">
        <v>1567</v>
      </c>
    </row>
    <row r="275" spans="2:3" x14ac:dyDescent="0.25">
      <c r="B275" s="16" t="s">
        <v>1589</v>
      </c>
      <c r="C275" t="s">
        <v>1590</v>
      </c>
    </row>
    <row r="276" spans="2:3" x14ac:dyDescent="0.25">
      <c r="B276" s="16" t="s">
        <v>1593</v>
      </c>
      <c r="C276" t="s">
        <v>1594</v>
      </c>
    </row>
    <row r="277" spans="2:3" x14ac:dyDescent="0.25">
      <c r="B277" s="16" t="s">
        <v>1605</v>
      </c>
      <c r="C277" t="s">
        <v>1606</v>
      </c>
    </row>
    <row r="278" spans="2:3" x14ac:dyDescent="0.25">
      <c r="B278" s="16" t="s">
        <v>1612</v>
      </c>
      <c r="C278" t="s">
        <v>1613</v>
      </c>
    </row>
    <row r="279" spans="2:3" x14ac:dyDescent="0.25">
      <c r="B279" s="16" t="s">
        <v>1615</v>
      </c>
      <c r="C279" t="s">
        <v>1616</v>
      </c>
    </row>
    <row r="280" spans="2:3" x14ac:dyDescent="0.25">
      <c r="B280" s="16" t="s">
        <v>1618</v>
      </c>
      <c r="C280" t="s">
        <v>1619</v>
      </c>
    </row>
    <row r="281" spans="2:3" x14ac:dyDescent="0.25">
      <c r="B281" s="16" t="s">
        <v>1631</v>
      </c>
      <c r="C281" t="s">
        <v>1632</v>
      </c>
    </row>
    <row r="282" spans="2:3" x14ac:dyDescent="0.25">
      <c r="B282" s="16" t="s">
        <v>1644</v>
      </c>
      <c r="C282" t="s">
        <v>1645</v>
      </c>
    </row>
    <row r="283" spans="2:3" x14ac:dyDescent="0.25">
      <c r="B283" s="16" t="s">
        <v>1648</v>
      </c>
      <c r="C283" t="s">
        <v>1649</v>
      </c>
    </row>
    <row r="284" spans="2:3" x14ac:dyDescent="0.25">
      <c r="B284" s="16" t="s">
        <v>1652</v>
      </c>
      <c r="C284" t="s">
        <v>1653</v>
      </c>
    </row>
    <row r="285" spans="2:3" x14ac:dyDescent="0.25">
      <c r="B285" s="16" t="s">
        <v>1671</v>
      </c>
      <c r="C285" t="s">
        <v>1672</v>
      </c>
    </row>
    <row r="286" spans="2:3" x14ac:dyDescent="0.25">
      <c r="B286" s="16" t="s">
        <v>1674</v>
      </c>
      <c r="C286" t="s">
        <v>1675</v>
      </c>
    </row>
    <row r="287" spans="2:3" x14ac:dyDescent="0.25">
      <c r="B287" s="16" t="s">
        <v>1681</v>
      </c>
      <c r="C287" t="s">
        <v>1682</v>
      </c>
    </row>
    <row r="288" spans="2:3" x14ac:dyDescent="0.25">
      <c r="B288" s="16" t="s">
        <v>1686</v>
      </c>
      <c r="C288" t="s">
        <v>1687</v>
      </c>
    </row>
    <row r="289" spans="2:3" x14ac:dyDescent="0.25">
      <c r="B289" s="16" t="s">
        <v>1691</v>
      </c>
      <c r="C289" t="s">
        <v>1692</v>
      </c>
    </row>
    <row r="290" spans="2:3" x14ac:dyDescent="0.25">
      <c r="B290" s="16" t="s">
        <v>1694</v>
      </c>
      <c r="C290" t="s">
        <v>1695</v>
      </c>
    </row>
    <row r="291" spans="2:3" x14ac:dyDescent="0.25">
      <c r="B291" s="16" t="s">
        <v>1708</v>
      </c>
      <c r="C291" t="s">
        <v>1709</v>
      </c>
    </row>
    <row r="292" spans="2:3" x14ac:dyDescent="0.25">
      <c r="B292" s="16" t="s">
        <v>1711</v>
      </c>
      <c r="C292" t="s">
        <v>1712</v>
      </c>
    </row>
    <row r="293" spans="2:3" x14ac:dyDescent="0.25">
      <c r="B293" s="16" t="s">
        <v>1714</v>
      </c>
      <c r="C293" t="s">
        <v>1715</v>
      </c>
    </row>
    <row r="294" spans="2:3" x14ac:dyDescent="0.25">
      <c r="B294" s="16" t="s">
        <v>1720</v>
      </c>
      <c r="C294" t="s">
        <v>1721</v>
      </c>
    </row>
    <row r="295" spans="2:3" x14ac:dyDescent="0.25">
      <c r="B295" s="16" t="s">
        <v>1730</v>
      </c>
      <c r="C295" t="s">
        <v>1731</v>
      </c>
    </row>
    <row r="296" spans="2:3" x14ac:dyDescent="0.25">
      <c r="B296" s="16" t="s">
        <v>1740</v>
      </c>
      <c r="C296" t="s">
        <v>480</v>
      </c>
    </row>
    <row r="297" spans="2:3" x14ac:dyDescent="0.25">
      <c r="B297" s="16" t="s">
        <v>1748</v>
      </c>
      <c r="C297" t="s">
        <v>1749</v>
      </c>
    </row>
    <row r="298" spans="2:3" x14ac:dyDescent="0.25">
      <c r="B298" s="16" t="s">
        <v>1764</v>
      </c>
      <c r="C298" t="s">
        <v>1765</v>
      </c>
    </row>
    <row r="299" spans="2:3" x14ac:dyDescent="0.25">
      <c r="B299" s="16" t="s">
        <v>1771</v>
      </c>
      <c r="C299" t="s">
        <v>1772</v>
      </c>
    </row>
    <row r="300" spans="2:3" x14ac:dyDescent="0.25">
      <c r="B300" s="16" t="s">
        <v>1785</v>
      </c>
      <c r="C300" t="s">
        <v>1786</v>
      </c>
    </row>
    <row r="301" spans="2:3" x14ac:dyDescent="0.25">
      <c r="B301" s="16" t="s">
        <v>1789</v>
      </c>
      <c r="C301" t="s">
        <v>1791</v>
      </c>
    </row>
    <row r="302" spans="2:3" x14ac:dyDescent="0.25">
      <c r="B302" s="16" t="s">
        <v>1797</v>
      </c>
      <c r="C302" t="s">
        <v>1798</v>
      </c>
    </row>
    <row r="303" spans="2:3" x14ac:dyDescent="0.25">
      <c r="B303" s="16" t="s">
        <v>1805</v>
      </c>
      <c r="C303" t="s">
        <v>1806</v>
      </c>
    </row>
    <row r="304" spans="2:3" x14ac:dyDescent="0.25">
      <c r="B304" s="16" t="s">
        <v>1809</v>
      </c>
      <c r="C304" t="s">
        <v>1810</v>
      </c>
    </row>
    <row r="305" spans="2:3" x14ac:dyDescent="0.25">
      <c r="B305" s="16" t="s">
        <v>1814</v>
      </c>
      <c r="C305" t="s">
        <v>1815</v>
      </c>
    </row>
    <row r="306" spans="2:3" x14ac:dyDescent="0.25">
      <c r="B306" s="16" t="s">
        <v>1818</v>
      </c>
      <c r="C306" t="s">
        <v>1819</v>
      </c>
    </row>
    <row r="307" spans="2:3" x14ac:dyDescent="0.25">
      <c r="B307" s="16" t="s">
        <v>1826</v>
      </c>
      <c r="C307" t="s">
        <v>1827</v>
      </c>
    </row>
    <row r="308" spans="2:3" x14ac:dyDescent="0.25">
      <c r="B308" s="16" t="s">
        <v>1831</v>
      </c>
      <c r="C308" t="s">
        <v>1832</v>
      </c>
    </row>
    <row r="309" spans="2:3" x14ac:dyDescent="0.25">
      <c r="B309" s="16" t="s">
        <v>1836</v>
      </c>
      <c r="C309" t="s">
        <v>1837</v>
      </c>
    </row>
    <row r="310" spans="2:3" x14ac:dyDescent="0.25">
      <c r="B310" s="16" t="s">
        <v>1839</v>
      </c>
      <c r="C310" t="s">
        <v>1840</v>
      </c>
    </row>
    <row r="311" spans="2:3" x14ac:dyDescent="0.25">
      <c r="B311" s="16" t="s">
        <v>1844</v>
      </c>
      <c r="C311" t="s">
        <v>1845</v>
      </c>
    </row>
    <row r="312" spans="2:3" x14ac:dyDescent="0.25">
      <c r="B312" s="16" t="s">
        <v>1847</v>
      </c>
      <c r="C312" t="s">
        <v>1848</v>
      </c>
    </row>
    <row r="313" spans="2:3" x14ac:dyDescent="0.25">
      <c r="B313" s="16" t="s">
        <v>1850</v>
      </c>
      <c r="C313" t="s">
        <v>1851</v>
      </c>
    </row>
    <row r="314" spans="2:3" x14ac:dyDescent="0.25">
      <c r="B314" s="16" t="s">
        <v>1854</v>
      </c>
      <c r="C314" t="s">
        <v>1855</v>
      </c>
    </row>
    <row r="315" spans="2:3" x14ac:dyDescent="0.25">
      <c r="B315" s="16" t="s">
        <v>1862</v>
      </c>
      <c r="C315" t="s">
        <v>1863</v>
      </c>
    </row>
    <row r="316" spans="2:3" x14ac:dyDescent="0.25">
      <c r="B316" s="16" t="s">
        <v>1866</v>
      </c>
      <c r="C316" t="s">
        <v>1867</v>
      </c>
    </row>
    <row r="317" spans="2:3" x14ac:dyDescent="0.25">
      <c r="B317" s="16" t="s">
        <v>1870</v>
      </c>
      <c r="C317" t="s">
        <v>1871</v>
      </c>
    </row>
    <row r="318" spans="2:3" x14ac:dyDescent="0.25">
      <c r="B318" s="16" t="s">
        <v>1873</v>
      </c>
      <c r="C318" t="s">
        <v>1874</v>
      </c>
    </row>
    <row r="319" spans="2:3" x14ac:dyDescent="0.25">
      <c r="B319" s="16" t="s">
        <v>1876</v>
      </c>
      <c r="C319" t="s">
        <v>1877</v>
      </c>
    </row>
    <row r="320" spans="2:3" x14ac:dyDescent="0.25">
      <c r="B320" s="16" t="s">
        <v>1893</v>
      </c>
      <c r="C320" t="s">
        <v>1894</v>
      </c>
    </row>
    <row r="321" spans="2:3" x14ac:dyDescent="0.25">
      <c r="B321" s="16" t="s">
        <v>1899</v>
      </c>
      <c r="C321" t="s">
        <v>1900</v>
      </c>
    </row>
    <row r="322" spans="2:3" x14ac:dyDescent="0.25">
      <c r="B322" s="16" t="s">
        <v>1903</v>
      </c>
      <c r="C322" t="s">
        <v>1904</v>
      </c>
    </row>
    <row r="323" spans="2:3" x14ac:dyDescent="0.25">
      <c r="B323" s="16" t="s">
        <v>1908</v>
      </c>
      <c r="C323" t="s">
        <v>1909</v>
      </c>
    </row>
    <row r="324" spans="2:3" x14ac:dyDescent="0.25">
      <c r="B324" s="16" t="s">
        <v>1922</v>
      </c>
      <c r="C324" t="s">
        <v>1923</v>
      </c>
    </row>
    <row r="325" spans="2:3" x14ac:dyDescent="0.25">
      <c r="B325" s="16" t="s">
        <v>1926</v>
      </c>
      <c r="C325" t="s">
        <v>1927</v>
      </c>
    </row>
    <row r="326" spans="2:3" x14ac:dyDescent="0.25">
      <c r="B326" s="16" t="s">
        <v>1930</v>
      </c>
      <c r="C326" t="s">
        <v>1931</v>
      </c>
    </row>
    <row r="327" spans="2:3" x14ac:dyDescent="0.25">
      <c r="B327" s="16" t="s">
        <v>1941</v>
      </c>
      <c r="C327" t="s">
        <v>1942</v>
      </c>
    </row>
    <row r="328" spans="2:3" x14ac:dyDescent="0.25">
      <c r="B328" s="16" t="s">
        <v>1947</v>
      </c>
      <c r="C328" t="s">
        <v>1948</v>
      </c>
    </row>
    <row r="329" spans="2:3" x14ac:dyDescent="0.25">
      <c r="B329" s="16" t="s">
        <v>1955</v>
      </c>
      <c r="C329" t="s">
        <v>1956</v>
      </c>
    </row>
    <row r="330" spans="2:3" x14ac:dyDescent="0.25">
      <c r="B330" s="16" t="s">
        <v>1959</v>
      </c>
      <c r="C330" t="s">
        <v>1960</v>
      </c>
    </row>
    <row r="331" spans="2:3" x14ac:dyDescent="0.25">
      <c r="B331" s="16" t="s">
        <v>1965</v>
      </c>
      <c r="C331" t="s">
        <v>1966</v>
      </c>
    </row>
    <row r="332" spans="2:3" x14ac:dyDescent="0.25">
      <c r="B332" s="16" t="s">
        <v>1982</v>
      </c>
      <c r="C332" t="s">
        <v>1983</v>
      </c>
    </row>
    <row r="333" spans="2:3" x14ac:dyDescent="0.25">
      <c r="B333" s="16" t="s">
        <v>1985</v>
      </c>
      <c r="C333" t="s">
        <v>1986</v>
      </c>
    </row>
    <row r="334" spans="2:3" x14ac:dyDescent="0.25">
      <c r="B334" s="16" t="s">
        <v>1996</v>
      </c>
      <c r="C334" t="s">
        <v>480</v>
      </c>
    </row>
    <row r="335" spans="2:3" x14ac:dyDescent="0.25">
      <c r="B335" s="16" t="s">
        <v>2000</v>
      </c>
      <c r="C335" t="s">
        <v>2001</v>
      </c>
    </row>
    <row r="336" spans="2:3" x14ac:dyDescent="0.25">
      <c r="B336" s="16" t="s">
        <v>2013</v>
      </c>
      <c r="C336" t="s">
        <v>2014</v>
      </c>
    </row>
    <row r="337" spans="2:3" x14ac:dyDescent="0.25">
      <c r="B337" s="16" t="s">
        <v>2023</v>
      </c>
      <c r="C337" t="s">
        <v>2024</v>
      </c>
    </row>
    <row r="338" spans="2:3" x14ac:dyDescent="0.25">
      <c r="B338" s="16" t="s">
        <v>2026</v>
      </c>
      <c r="C338" t="s">
        <v>2027</v>
      </c>
    </row>
    <row r="339" spans="2:3" x14ac:dyDescent="0.25">
      <c r="B339" s="16" t="s">
        <v>2029</v>
      </c>
      <c r="C339" t="s">
        <v>2030</v>
      </c>
    </row>
    <row r="340" spans="2:3" x14ac:dyDescent="0.25">
      <c r="B340" s="16" t="s">
        <v>2032</v>
      </c>
      <c r="C340" t="s">
        <v>2033</v>
      </c>
    </row>
    <row r="341" spans="2:3" x14ac:dyDescent="0.25">
      <c r="B341" s="16" t="s">
        <v>2044</v>
      </c>
      <c r="C341" t="s">
        <v>2045</v>
      </c>
    </row>
    <row r="342" spans="2:3" x14ac:dyDescent="0.25">
      <c r="B342" s="16" t="s">
        <v>2047</v>
      </c>
      <c r="C342" t="s">
        <v>2048</v>
      </c>
    </row>
    <row r="343" spans="2:3" x14ac:dyDescent="0.25">
      <c r="B343" s="16" t="s">
        <v>2051</v>
      </c>
      <c r="C343" t="s">
        <v>2052</v>
      </c>
    </row>
    <row r="344" spans="2:3" x14ac:dyDescent="0.25">
      <c r="B344" s="16" t="s">
        <v>2055</v>
      </c>
      <c r="C344" t="s">
        <v>2056</v>
      </c>
    </row>
    <row r="345" spans="2:3" x14ac:dyDescent="0.25">
      <c r="B345" s="16" t="s">
        <v>2070</v>
      </c>
      <c r="C345" t="s">
        <v>2071</v>
      </c>
    </row>
    <row r="346" spans="2:3" x14ac:dyDescent="0.25">
      <c r="B346" s="16" t="s">
        <v>2075</v>
      </c>
      <c r="C346" t="s">
        <v>2076</v>
      </c>
    </row>
    <row r="347" spans="2:3" x14ac:dyDescent="0.25">
      <c r="B347" s="16" t="s">
        <v>2084</v>
      </c>
      <c r="C347" t="s">
        <v>2085</v>
      </c>
    </row>
    <row r="348" spans="2:3" x14ac:dyDescent="0.25">
      <c r="B348" s="16" t="s">
        <v>2105</v>
      </c>
      <c r="C348" t="s">
        <v>2106</v>
      </c>
    </row>
    <row r="349" spans="2:3" x14ac:dyDescent="0.25">
      <c r="B349" s="16" t="s">
        <v>2116</v>
      </c>
      <c r="C349" t="s">
        <v>2117</v>
      </c>
    </row>
    <row r="350" spans="2:3" x14ac:dyDescent="0.25">
      <c r="B350" s="16" t="s">
        <v>2121</v>
      </c>
      <c r="C350" t="s">
        <v>2122</v>
      </c>
    </row>
    <row r="351" spans="2:3" x14ac:dyDescent="0.25">
      <c r="B351" s="16" t="s">
        <v>2127</v>
      </c>
      <c r="C351" t="s">
        <v>2128</v>
      </c>
    </row>
    <row r="352" spans="2:3" x14ac:dyDescent="0.25">
      <c r="B352" s="16" t="s">
        <v>2131</v>
      </c>
      <c r="C352" t="s">
        <v>2132</v>
      </c>
    </row>
    <row r="353" spans="2:3" x14ac:dyDescent="0.25">
      <c r="B353" s="16" t="s">
        <v>2134</v>
      </c>
      <c r="C353" t="s">
        <v>2135</v>
      </c>
    </row>
    <row r="354" spans="2:3" x14ac:dyDescent="0.25">
      <c r="B354" s="16" t="s">
        <v>2137</v>
      </c>
      <c r="C354" t="s">
        <v>2138</v>
      </c>
    </row>
    <row r="355" spans="2:3" x14ac:dyDescent="0.25">
      <c r="B355" s="16" t="s">
        <v>2143</v>
      </c>
      <c r="C355" t="s">
        <v>2144</v>
      </c>
    </row>
  </sheetData>
  <phoneticPr fontId="1" type="noConversion"/>
  <conditionalFormatting sqref="B1:B1048576">
    <cfRule type="duplicateValues" dxfId="14" priority="3"/>
    <cfRule type="duplicateValues" dxfId="13" priority="4"/>
  </conditionalFormatting>
  <dataValidations count="1">
    <dataValidation type="list" allowBlank="1" showInputMessage="1" showErrorMessage="1" sqref="B244" xr:uid="{00000000-0002-0000-0100-000000000000}">
      <formula1>INDIRECT(OFFSET(INDIRECT(ADDRESS(ROW(), COLUMN())),0,-1))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C3"/>
  <sheetViews>
    <sheetView workbookViewId="0">
      <selection activeCell="E33" sqref="E33"/>
    </sheetView>
  </sheetViews>
  <sheetFormatPr defaultRowHeight="13.8" x14ac:dyDescent="0.25"/>
  <cols>
    <col min="2" max="2" width="10.44140625" customWidth="1"/>
    <col min="3" max="3" width="28.109375" customWidth="1"/>
  </cols>
  <sheetData>
    <row r="1" spans="2:3" ht="14.4" thickBot="1" x14ac:dyDescent="0.3">
      <c r="B1" s="14" t="s">
        <v>108</v>
      </c>
      <c r="C1" s="14" t="s">
        <v>109</v>
      </c>
    </row>
    <row r="2" spans="2:3" ht="14.4" thickTop="1" x14ac:dyDescent="0.25">
      <c r="B2">
        <v>123</v>
      </c>
      <c r="C2" t="s">
        <v>106</v>
      </c>
    </row>
    <row r="3" spans="2:3" x14ac:dyDescent="0.25">
      <c r="B3">
        <v>234</v>
      </c>
      <c r="C3" t="s">
        <v>107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L11"/>
  <sheetViews>
    <sheetView workbookViewId="0">
      <selection activeCell="D15" sqref="D15"/>
    </sheetView>
  </sheetViews>
  <sheetFormatPr defaultRowHeight="13.8" x14ac:dyDescent="0.25"/>
  <cols>
    <col min="2" max="2" width="25.77734375" style="1" customWidth="1"/>
    <col min="3" max="3" width="15" style="1" customWidth="1"/>
    <col min="4" max="4" width="26" style="1" customWidth="1"/>
    <col min="5" max="5" width="17.44140625" style="1" customWidth="1"/>
    <col min="6" max="6" width="14.88671875" style="1" customWidth="1"/>
    <col min="7" max="7" width="30" style="1" customWidth="1"/>
    <col min="8" max="8" width="16.77734375" style="1" customWidth="1"/>
    <col min="9" max="9" width="8.88671875" style="1"/>
    <col min="10" max="10" width="41.88671875" style="1" customWidth="1"/>
    <col min="11" max="11" width="12.33203125" style="1" customWidth="1"/>
    <col min="12" max="12" width="13.21875" customWidth="1"/>
  </cols>
  <sheetData>
    <row r="1" spans="2:12" x14ac:dyDescent="0.25">
      <c r="B1" s="3" t="s">
        <v>0</v>
      </c>
      <c r="C1" s="3" t="s">
        <v>1</v>
      </c>
      <c r="D1" s="3" t="s">
        <v>9</v>
      </c>
      <c r="E1" s="3" t="s">
        <v>12</v>
      </c>
      <c r="F1" s="3" t="s">
        <v>13</v>
      </c>
      <c r="G1" s="3" t="s">
        <v>2</v>
      </c>
      <c r="H1" s="3" t="s">
        <v>14</v>
      </c>
      <c r="I1" s="3" t="s">
        <v>3</v>
      </c>
      <c r="J1" s="3" t="s">
        <v>4</v>
      </c>
      <c r="K1" s="3" t="s">
        <v>5</v>
      </c>
      <c r="L1" s="4" t="s">
        <v>6</v>
      </c>
    </row>
    <row r="2" spans="2:12" x14ac:dyDescent="0.25">
      <c r="B2" s="1" t="s">
        <v>54</v>
      </c>
      <c r="C2" s="1" t="s">
        <v>10</v>
      </c>
      <c r="D2" s="1" t="s">
        <v>11</v>
      </c>
      <c r="E2" s="36">
        <v>688183667</v>
      </c>
      <c r="F2" s="27" t="s">
        <v>15</v>
      </c>
      <c r="G2" s="1" t="s">
        <v>18</v>
      </c>
      <c r="H2" s="1" t="s">
        <v>21</v>
      </c>
      <c r="I2" s="28" t="s">
        <v>254</v>
      </c>
      <c r="J2" s="1">
        <v>2848544</v>
      </c>
      <c r="K2" s="1" t="s">
        <v>255</v>
      </c>
    </row>
    <row r="3" spans="2:12" ht="27.6" x14ac:dyDescent="0.25">
      <c r="B3" s="1" t="s">
        <v>7</v>
      </c>
      <c r="C3" s="1" t="s">
        <v>10</v>
      </c>
      <c r="D3" s="1" t="s">
        <v>11</v>
      </c>
      <c r="E3" s="36">
        <v>688183667</v>
      </c>
      <c r="F3" s="1" t="s">
        <v>16</v>
      </c>
      <c r="G3" s="1" t="s">
        <v>19</v>
      </c>
      <c r="H3" s="1" t="s">
        <v>22</v>
      </c>
      <c r="I3" s="28" t="s">
        <v>258</v>
      </c>
      <c r="J3" s="22" t="s">
        <v>259</v>
      </c>
      <c r="K3" s="1">
        <v>10171992</v>
      </c>
    </row>
    <row r="4" spans="2:12" x14ac:dyDescent="0.25">
      <c r="B4" s="1" t="s">
        <v>7</v>
      </c>
      <c r="C4" s="1" t="s">
        <v>10</v>
      </c>
      <c r="D4" s="1" t="s">
        <v>11</v>
      </c>
      <c r="E4" s="36">
        <v>688183667</v>
      </c>
      <c r="F4" s="1" t="s">
        <v>17</v>
      </c>
      <c r="G4" s="1" t="s">
        <v>20</v>
      </c>
      <c r="H4" s="1" t="s">
        <v>23</v>
      </c>
      <c r="I4" s="28" t="s">
        <v>256</v>
      </c>
      <c r="J4" s="22" t="s">
        <v>257</v>
      </c>
      <c r="K4" s="1" t="s">
        <v>231</v>
      </c>
    </row>
    <row r="5" spans="2:12" x14ac:dyDescent="0.25">
      <c r="B5" s="1" t="s">
        <v>7</v>
      </c>
      <c r="C5" s="1" t="s">
        <v>10</v>
      </c>
      <c r="D5" s="1" t="s">
        <v>11</v>
      </c>
      <c r="E5" s="36">
        <v>688183667</v>
      </c>
      <c r="F5" s="1" t="s">
        <v>361</v>
      </c>
      <c r="G5" s="1" t="s">
        <v>362</v>
      </c>
      <c r="I5" s="28" t="s">
        <v>363</v>
      </c>
      <c r="J5" s="22" t="s">
        <v>364</v>
      </c>
      <c r="K5" s="1" t="s">
        <v>365</v>
      </c>
    </row>
    <row r="6" spans="2:12" x14ac:dyDescent="0.25">
      <c r="B6" s="1" t="s">
        <v>59</v>
      </c>
      <c r="C6" s="36">
        <v>516700987</v>
      </c>
      <c r="D6" s="1" t="s">
        <v>24</v>
      </c>
      <c r="E6" s="36">
        <v>968101628</v>
      </c>
      <c r="F6" s="1" t="s">
        <v>25</v>
      </c>
      <c r="G6" s="1" t="s">
        <v>41</v>
      </c>
      <c r="H6" s="1" t="s">
        <v>26</v>
      </c>
      <c r="I6" s="28" t="s">
        <v>260</v>
      </c>
      <c r="J6" s="1" t="s">
        <v>261</v>
      </c>
      <c r="K6" s="1" t="s">
        <v>262</v>
      </c>
    </row>
    <row r="7" spans="2:12" ht="41.4" x14ac:dyDescent="0.25">
      <c r="B7" s="1" t="s">
        <v>59</v>
      </c>
      <c r="C7" s="36">
        <v>516700987</v>
      </c>
      <c r="D7" s="1" t="s">
        <v>24</v>
      </c>
      <c r="E7" s="36">
        <v>968101628</v>
      </c>
      <c r="I7" s="28" t="s">
        <v>359</v>
      </c>
      <c r="J7" s="22" t="s">
        <v>360</v>
      </c>
    </row>
    <row r="8" spans="2:12" x14ac:dyDescent="0.25">
      <c r="B8" s="1" t="s">
        <v>57</v>
      </c>
      <c r="C8" s="1" t="s">
        <v>27</v>
      </c>
      <c r="D8" s="1" t="s">
        <v>28</v>
      </c>
      <c r="E8" s="36" t="s">
        <v>29</v>
      </c>
      <c r="F8" s="1" t="s">
        <v>30</v>
      </c>
      <c r="G8" s="1" t="s">
        <v>34</v>
      </c>
      <c r="H8" s="1" t="s">
        <v>38</v>
      </c>
    </row>
    <row r="9" spans="2:12" x14ac:dyDescent="0.25">
      <c r="B9" s="1" t="s">
        <v>8</v>
      </c>
      <c r="C9" s="1" t="s">
        <v>27</v>
      </c>
      <c r="D9" s="1" t="s">
        <v>28</v>
      </c>
      <c r="E9" s="36" t="s">
        <v>29</v>
      </c>
      <c r="F9" s="27" t="s">
        <v>31</v>
      </c>
      <c r="G9" s="1" t="s">
        <v>35</v>
      </c>
      <c r="H9" s="1" t="s">
        <v>39</v>
      </c>
    </row>
    <row r="10" spans="2:12" x14ac:dyDescent="0.25">
      <c r="B10" s="1" t="s">
        <v>8</v>
      </c>
      <c r="C10" s="1" t="s">
        <v>27</v>
      </c>
      <c r="D10" s="1" t="s">
        <v>28</v>
      </c>
      <c r="E10" s="36" t="s">
        <v>29</v>
      </c>
      <c r="F10" s="1" t="s">
        <v>32</v>
      </c>
      <c r="G10" s="1" t="s">
        <v>36</v>
      </c>
      <c r="H10" s="1" t="s">
        <v>23</v>
      </c>
    </row>
    <row r="11" spans="2:12" x14ac:dyDescent="0.25">
      <c r="B11" s="1" t="s">
        <v>8</v>
      </c>
      <c r="C11" s="1" t="s">
        <v>27</v>
      </c>
      <c r="D11" s="1" t="s">
        <v>28</v>
      </c>
      <c r="E11" s="36" t="s">
        <v>29</v>
      </c>
      <c r="F11" s="1" t="s">
        <v>33</v>
      </c>
      <c r="G11" s="1" t="s">
        <v>37</v>
      </c>
      <c r="H11" s="1" t="s">
        <v>40</v>
      </c>
    </row>
  </sheetData>
  <phoneticPr fontId="1" type="noConversion"/>
  <hyperlinks>
    <hyperlink ref="I2" r:id="rId1" xr:uid="{00000000-0004-0000-0300-000000000000}"/>
    <hyperlink ref="I4" r:id="rId2" xr:uid="{00000000-0004-0000-0300-000001000000}"/>
    <hyperlink ref="I3" r:id="rId3" xr:uid="{00000000-0004-0000-0300-000002000000}"/>
    <hyperlink ref="I6" r:id="rId4" xr:uid="{00000000-0004-0000-0300-000003000000}"/>
    <hyperlink ref="I7" r:id="rId5" xr:uid="{00000000-0004-0000-0300-000004000000}"/>
    <hyperlink ref="I5" r:id="rId6" xr:uid="{00000000-0004-0000-0300-000005000000}"/>
  </hyperlinks>
  <pageMargins left="0.7" right="0.7" top="0.75" bottom="0.75" header="0.3" footer="0.3"/>
  <pageSetup paperSize="9" orientation="portrait" r:id="rId7"/>
  <legacy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K20"/>
  <sheetViews>
    <sheetView workbookViewId="0">
      <pane ySplit="1" topLeftCell="A2" activePane="bottomLeft" state="frozen"/>
      <selection pane="bottomLeft" activeCell="G5" sqref="G5"/>
    </sheetView>
  </sheetViews>
  <sheetFormatPr defaultRowHeight="13.8" x14ac:dyDescent="0.25"/>
  <cols>
    <col min="2" max="2" width="9.44140625" customWidth="1"/>
    <col min="3" max="3" width="10.44140625" customWidth="1"/>
    <col min="5" max="5" width="19.109375" customWidth="1"/>
    <col min="7" max="7" width="14.77734375" customWidth="1"/>
    <col min="8" max="8" width="14.21875" customWidth="1"/>
    <col min="9" max="9" width="20.88671875" customWidth="1"/>
    <col min="11" max="11" width="15.44140625" customWidth="1"/>
  </cols>
  <sheetData>
    <row r="1" spans="2:11" x14ac:dyDescent="0.25">
      <c r="B1" s="2" t="s">
        <v>53</v>
      </c>
      <c r="C1" s="2" t="s">
        <v>99</v>
      </c>
      <c r="E1" s="5" t="s">
        <v>0</v>
      </c>
      <c r="G1" s="5" t="s">
        <v>58</v>
      </c>
      <c r="H1" s="5" t="s">
        <v>56</v>
      </c>
      <c r="I1" s="5" t="s">
        <v>61</v>
      </c>
      <c r="K1" s="26" t="s">
        <v>110</v>
      </c>
    </row>
    <row r="2" spans="2:11" x14ac:dyDescent="0.25">
      <c r="B2" t="s">
        <v>88</v>
      </c>
      <c r="C2" t="s">
        <v>101</v>
      </c>
      <c r="E2" t="s">
        <v>58</v>
      </c>
      <c r="G2" s="1" t="s">
        <v>2114</v>
      </c>
      <c r="H2" s="1" t="s">
        <v>367</v>
      </c>
      <c r="K2" s="1" t="s">
        <v>111</v>
      </c>
    </row>
    <row r="3" spans="2:11" x14ac:dyDescent="0.25">
      <c r="B3" t="s">
        <v>89</v>
      </c>
      <c r="C3" t="s">
        <v>102</v>
      </c>
      <c r="E3" t="s">
        <v>56</v>
      </c>
      <c r="G3" s="1" t="s">
        <v>2113</v>
      </c>
      <c r="H3" s="1" t="s">
        <v>65</v>
      </c>
      <c r="K3" s="1" t="s">
        <v>112</v>
      </c>
    </row>
    <row r="4" spans="2:11" x14ac:dyDescent="0.25">
      <c r="B4" t="s">
        <v>91</v>
      </c>
      <c r="C4" t="s">
        <v>103</v>
      </c>
      <c r="E4" t="s">
        <v>61</v>
      </c>
      <c r="G4" s="1" t="s">
        <v>69</v>
      </c>
      <c r="H4" s="1" t="s">
        <v>64</v>
      </c>
      <c r="I4" s="1" t="s">
        <v>351</v>
      </c>
      <c r="K4" s="1" t="s">
        <v>113</v>
      </c>
    </row>
    <row r="5" spans="2:11" x14ac:dyDescent="0.25">
      <c r="B5" t="s">
        <v>92</v>
      </c>
      <c r="C5" t="s">
        <v>264</v>
      </c>
      <c r="G5" s="1" t="s">
        <v>68</v>
      </c>
      <c r="H5" s="1" t="s">
        <v>62</v>
      </c>
      <c r="I5" s="1" t="s">
        <v>67</v>
      </c>
      <c r="K5" s="1" t="s">
        <v>114</v>
      </c>
    </row>
    <row r="6" spans="2:11" x14ac:dyDescent="0.25">
      <c r="B6" t="s">
        <v>93</v>
      </c>
      <c r="C6" t="s">
        <v>826</v>
      </c>
      <c r="K6" s="1" t="s">
        <v>115</v>
      </c>
    </row>
    <row r="7" spans="2:11" x14ac:dyDescent="0.25">
      <c r="B7" t="s">
        <v>94</v>
      </c>
      <c r="K7" s="1" t="s">
        <v>116</v>
      </c>
    </row>
    <row r="8" spans="2:11" x14ac:dyDescent="0.25">
      <c r="B8" t="s">
        <v>95</v>
      </c>
      <c r="K8" s="1" t="s">
        <v>117</v>
      </c>
    </row>
    <row r="9" spans="2:11" x14ac:dyDescent="0.25">
      <c r="B9" t="s">
        <v>96</v>
      </c>
      <c r="K9" s="1" t="s">
        <v>118</v>
      </c>
    </row>
    <row r="10" spans="2:11" x14ac:dyDescent="0.25">
      <c r="B10" t="s">
        <v>97</v>
      </c>
      <c r="K10" s="1" t="s">
        <v>119</v>
      </c>
    </row>
    <row r="11" spans="2:11" x14ac:dyDescent="0.25">
      <c r="B11" t="s">
        <v>98</v>
      </c>
      <c r="K11" s="1" t="s">
        <v>120</v>
      </c>
    </row>
    <row r="12" spans="2:11" x14ac:dyDescent="0.25">
      <c r="K12" s="1" t="s">
        <v>239</v>
      </c>
    </row>
    <row r="13" spans="2:11" x14ac:dyDescent="0.25">
      <c r="K13" s="1" t="s">
        <v>246</v>
      </c>
    </row>
    <row r="14" spans="2:11" x14ac:dyDescent="0.25">
      <c r="K14" s="1" t="s">
        <v>317</v>
      </c>
    </row>
    <row r="15" spans="2:11" x14ac:dyDescent="0.25">
      <c r="K15" s="1" t="s">
        <v>320</v>
      </c>
    </row>
    <row r="16" spans="2:11" x14ac:dyDescent="0.25">
      <c r="K16" s="1" t="s">
        <v>564</v>
      </c>
    </row>
    <row r="17" spans="11:11" x14ac:dyDescent="0.25">
      <c r="K17" s="1" t="s">
        <v>566</v>
      </c>
    </row>
    <row r="18" spans="11:11" x14ac:dyDescent="0.25">
      <c r="K18" s="1" t="s">
        <v>706</v>
      </c>
    </row>
    <row r="19" spans="11:11" x14ac:dyDescent="0.25">
      <c r="K19" s="1" t="s">
        <v>708</v>
      </c>
    </row>
    <row r="20" spans="11:11" x14ac:dyDescent="0.25">
      <c r="K20" s="1" t="s">
        <v>788</v>
      </c>
    </row>
  </sheetData>
  <autoFilter ref="G1:I5" xr:uid="{00000000-0001-0000-0400-000000000000}">
    <sortState xmlns:xlrd2="http://schemas.microsoft.com/office/spreadsheetml/2017/richdata2" ref="G2:I5">
      <sortCondition ref="G1:G5"/>
    </sortState>
  </autoFilter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O24"/>
  <sheetViews>
    <sheetView workbookViewId="0">
      <selection activeCell="J18" sqref="J18"/>
    </sheetView>
  </sheetViews>
  <sheetFormatPr defaultRowHeight="13.8" x14ac:dyDescent="0.25"/>
  <cols>
    <col min="2" max="3" width="10.109375" customWidth="1"/>
    <col min="6" max="6" width="12" customWidth="1"/>
    <col min="10" max="10" width="11.44140625" customWidth="1"/>
    <col min="13" max="13" width="13.6640625" customWidth="1"/>
  </cols>
  <sheetData>
    <row r="1" spans="1:15" x14ac:dyDescent="0.25">
      <c r="A1" s="11" t="s">
        <v>83</v>
      </c>
    </row>
    <row r="2" spans="1:15" x14ac:dyDescent="0.25">
      <c r="B2" s="12" t="s">
        <v>84</v>
      </c>
      <c r="C2" s="12" t="s">
        <v>85</v>
      </c>
    </row>
    <row r="3" spans="1:15" x14ac:dyDescent="0.25">
      <c r="B3" s="13" t="s">
        <v>55</v>
      </c>
      <c r="C3" s="13" t="s">
        <v>63</v>
      </c>
    </row>
    <row r="4" spans="1:15" ht="16.2" customHeight="1" x14ac:dyDescent="0.25">
      <c r="A4" s="2" t="s">
        <v>0</v>
      </c>
      <c r="B4" s="2" t="s">
        <v>13</v>
      </c>
      <c r="C4" s="2" t="s">
        <v>44</v>
      </c>
      <c r="D4" s="2" t="s">
        <v>50</v>
      </c>
      <c r="E4" s="2" t="s">
        <v>70</v>
      </c>
      <c r="F4" s="9" t="s">
        <v>46</v>
      </c>
      <c r="G4" s="8" t="s">
        <v>80</v>
      </c>
      <c r="H4" s="2" t="s">
        <v>77</v>
      </c>
      <c r="I4" s="8" t="s">
        <v>47</v>
      </c>
      <c r="J4" s="2" t="s">
        <v>48</v>
      </c>
      <c r="K4" s="2" t="s">
        <v>49</v>
      </c>
      <c r="L4" s="2" t="s">
        <v>51</v>
      </c>
      <c r="M4" s="2" t="s">
        <v>52</v>
      </c>
      <c r="N4" s="2" t="s">
        <v>81</v>
      </c>
      <c r="O4" s="2" t="s">
        <v>78</v>
      </c>
    </row>
    <row r="5" spans="1:15" x14ac:dyDescent="0.25">
      <c r="A5" t="s">
        <v>55</v>
      </c>
      <c r="B5" t="s">
        <v>63</v>
      </c>
      <c r="C5" t="s">
        <v>45</v>
      </c>
      <c r="D5">
        <v>-100</v>
      </c>
      <c r="F5" s="10"/>
      <c r="G5" s="7">
        <f t="shared" ref="G5" si="0">D5+E5</f>
        <v>-100</v>
      </c>
      <c r="H5" t="s">
        <v>75</v>
      </c>
      <c r="I5" s="7" t="str">
        <f>INDEX(客户信息维护!C:C,MATCH(H5,客户信息维护!B:B,0))</f>
        <v>TEMING CHENG</v>
      </c>
      <c r="M5" t="s">
        <v>79</v>
      </c>
      <c r="N5" t="s">
        <v>82</v>
      </c>
    </row>
    <row r="12" spans="1:15" x14ac:dyDescent="0.25">
      <c r="F12" s="40">
        <v>3</v>
      </c>
      <c r="G12" s="40">
        <v>7.2</v>
      </c>
      <c r="H12">
        <v>0.1</v>
      </c>
    </row>
    <row r="14" spans="1:15" x14ac:dyDescent="0.25">
      <c r="F14">
        <f>F12*G12*H12</f>
        <v>2.16</v>
      </c>
    </row>
    <row r="15" spans="1:15" x14ac:dyDescent="0.25">
      <c r="F15">
        <f>F12*G12</f>
        <v>21.6</v>
      </c>
      <c r="M15">
        <f>1750</f>
        <v>1750</v>
      </c>
    </row>
    <row r="16" spans="1:15" x14ac:dyDescent="0.25">
      <c r="F16" s="40">
        <f>F15-F14</f>
        <v>19.440000000000001</v>
      </c>
      <c r="M16">
        <f>1785</f>
        <v>1785</v>
      </c>
    </row>
    <row r="17" spans="6:13" x14ac:dyDescent="0.25">
      <c r="M17">
        <f>M15+M16</f>
        <v>3535</v>
      </c>
    </row>
    <row r="19" spans="6:13" x14ac:dyDescent="0.25">
      <c r="F19" s="41">
        <f>1-F16/(F12*G12)</f>
        <v>9.9999999999999978E-2</v>
      </c>
      <c r="M19">
        <v>3219.49</v>
      </c>
    </row>
    <row r="21" spans="6:13" x14ac:dyDescent="0.25">
      <c r="M21">
        <f>M19/M17</f>
        <v>0.91074681753889664</v>
      </c>
    </row>
    <row r="23" spans="6:13" x14ac:dyDescent="0.25">
      <c r="M23">
        <f>M15*M21</f>
        <v>1593.806930693069</v>
      </c>
    </row>
    <row r="24" spans="6:13" x14ac:dyDescent="0.25">
      <c r="M24">
        <f>M16*M21</f>
        <v>1625.6830693069305</v>
      </c>
    </row>
  </sheetData>
  <phoneticPr fontId="1" type="noConversion"/>
  <conditionalFormatting sqref="J4">
    <cfRule type="duplicateValues" dxfId="7" priority="6"/>
  </conditionalFormatting>
  <conditionalFormatting sqref="M4">
    <cfRule type="cellIs" dxfId="6" priority="4" operator="equal">
      <formula>"已发"</formula>
    </cfRule>
    <cfRule type="cellIs" dxfId="5" priority="5" operator="equal">
      <formula>"未发"</formula>
    </cfRule>
  </conditionalFormatting>
  <conditionalFormatting sqref="J5">
    <cfRule type="duplicateValues" dxfId="4" priority="3"/>
  </conditionalFormatting>
  <conditionalFormatting sqref="M5">
    <cfRule type="cellIs" dxfId="3" priority="1" operator="equal">
      <formula>"已发"</formula>
    </cfRule>
    <cfRule type="cellIs" dxfId="2" priority="2" operator="equal">
      <formula>"未发"</formula>
    </cfRule>
  </conditionalFormatting>
  <dataValidations count="6">
    <dataValidation type="list" allowBlank="1" showInputMessage="1" showErrorMessage="1" sqref="B3 A4:A5" xr:uid="{00000000-0002-0000-0500-000000000000}">
      <formula1>公司名称</formula1>
    </dataValidation>
    <dataValidation type="list" allowBlank="1" showInputMessage="1" showErrorMessage="1" sqref="C3" xr:uid="{00000000-0002-0000-0500-000001000000}">
      <formula1>INDIRECT($B$3)</formula1>
    </dataValidation>
    <dataValidation type="list" allowBlank="1" showInputMessage="1" showErrorMessage="1" sqref="M4:M5" xr:uid="{00000000-0002-0000-0500-000002000000}">
      <formula1>"未发,已发"</formula1>
    </dataValidation>
    <dataValidation type="list" allowBlank="1" showInputMessage="1" showErrorMessage="1" sqref="B4:B5" xr:uid="{00000000-0002-0000-0500-000003000000}">
      <formula1>INDIRECT(OFFSET(INDIRECT(ADDRESS(ROW(), COLUMN())),0,-1))</formula1>
    </dataValidation>
    <dataValidation type="list" allowBlank="1" showInputMessage="1" showErrorMessage="1" sqref="C4:C5" xr:uid="{00000000-0002-0000-0500-000004000000}">
      <formula1>收支状态</formula1>
    </dataValidation>
    <dataValidation type="list" allowBlank="1" showInputMessage="1" showErrorMessage="1" sqref="H5" xr:uid="{00000000-0002-0000-0500-000005000000}">
      <formula1>收_客户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9</vt:i4>
      </vt:variant>
    </vt:vector>
  </HeadingPairs>
  <TitlesOfParts>
    <vt:vector size="15" baseType="lpstr">
      <vt:lpstr>银行日记账登记</vt:lpstr>
      <vt:lpstr>客户信息维护</vt:lpstr>
      <vt:lpstr>供应商信息维护</vt:lpstr>
      <vt:lpstr>银行信息</vt:lpstr>
      <vt:lpstr>数据维护</vt:lpstr>
      <vt:lpstr>666</vt:lpstr>
      <vt:lpstr>FUTURE</vt:lpstr>
      <vt:lpstr>UNICO</vt:lpstr>
      <vt:lpstr>VERMELHIMODERNO</vt:lpstr>
      <vt:lpstr>公司名称</vt:lpstr>
      <vt:lpstr>收_客户</vt:lpstr>
      <vt:lpstr>收支类型</vt:lpstr>
      <vt:lpstr>收支状态</vt:lpstr>
      <vt:lpstr>支_费用</vt:lpstr>
      <vt:lpstr>支_供应商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hu biao</cp:lastModifiedBy>
  <dcterms:created xsi:type="dcterms:W3CDTF">2015-06-05T18:19:34Z</dcterms:created>
  <dcterms:modified xsi:type="dcterms:W3CDTF">2023-11-08T10:36:04Z</dcterms:modified>
</cp:coreProperties>
</file>